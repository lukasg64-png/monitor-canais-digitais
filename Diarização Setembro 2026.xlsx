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lucas_alves6_farmaciassaojoao_com_br/Documents/Documentos/ANTIGRAVITI/Acompanhamento Online Canais Digitais/"/>
    </mc:Choice>
  </mc:AlternateContent>
  <xr:revisionPtr revIDLastSave="0" documentId="8_{2EAF1785-6E7C-4548-B724-1F8C011F5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E32" i="2"/>
  <c r="H31" i="2"/>
  <c r="G31" i="2"/>
  <c r="F31" i="2"/>
  <c r="D31" i="2"/>
  <c r="H30" i="2"/>
  <c r="G30" i="2"/>
  <c r="F30" i="2"/>
  <c r="D30" i="2"/>
  <c r="H29" i="2"/>
  <c r="G29" i="2"/>
  <c r="F29" i="2"/>
  <c r="D29" i="2"/>
  <c r="H28" i="2"/>
  <c r="G28" i="2"/>
  <c r="F28" i="2"/>
  <c r="D28" i="2"/>
  <c r="H27" i="2"/>
  <c r="G27" i="2"/>
  <c r="F27" i="2"/>
  <c r="D27" i="2"/>
  <c r="H26" i="2"/>
  <c r="G26" i="2"/>
  <c r="F26" i="2"/>
  <c r="D26" i="2"/>
  <c r="H25" i="2"/>
  <c r="G25" i="2"/>
  <c r="F25" i="2"/>
  <c r="D25" i="2"/>
  <c r="H24" i="2"/>
  <c r="G24" i="2"/>
  <c r="F24" i="2"/>
  <c r="D24" i="2"/>
  <c r="H23" i="2"/>
  <c r="G23" i="2"/>
  <c r="F23" i="2"/>
  <c r="D23" i="2"/>
  <c r="H22" i="2"/>
  <c r="G22" i="2"/>
  <c r="F22" i="2"/>
  <c r="D22" i="2"/>
  <c r="H21" i="2"/>
  <c r="G21" i="2"/>
  <c r="F21" i="2"/>
  <c r="D21" i="2"/>
  <c r="H20" i="2"/>
  <c r="G20" i="2"/>
  <c r="F20" i="2"/>
  <c r="D20" i="2"/>
  <c r="H19" i="2"/>
  <c r="G19" i="2"/>
  <c r="F19" i="2"/>
  <c r="D19" i="2"/>
  <c r="H18" i="2"/>
  <c r="G18" i="2"/>
  <c r="F18" i="2"/>
  <c r="D18" i="2"/>
  <c r="H17" i="2"/>
  <c r="G17" i="2"/>
  <c r="F17" i="2"/>
  <c r="D17" i="2"/>
  <c r="H16" i="2"/>
  <c r="G16" i="2"/>
  <c r="F16" i="2"/>
  <c r="D16" i="2"/>
  <c r="H15" i="2"/>
  <c r="G15" i="2"/>
  <c r="F15" i="2"/>
  <c r="D15" i="2"/>
  <c r="H14" i="2"/>
  <c r="G14" i="2"/>
  <c r="F14" i="2"/>
  <c r="D14" i="2"/>
  <c r="H13" i="2"/>
  <c r="G13" i="2"/>
  <c r="F13" i="2"/>
  <c r="D13" i="2"/>
  <c r="H12" i="2"/>
  <c r="G12" i="2"/>
  <c r="F12" i="2"/>
  <c r="D12" i="2"/>
  <c r="H11" i="2"/>
  <c r="G11" i="2"/>
  <c r="F11" i="2"/>
  <c r="D11" i="2"/>
  <c r="H10" i="2"/>
  <c r="G10" i="2"/>
  <c r="F10" i="2"/>
  <c r="D10" i="2"/>
  <c r="H9" i="2"/>
  <c r="G9" i="2"/>
  <c r="F9" i="2"/>
  <c r="D9" i="2"/>
  <c r="H8" i="2"/>
  <c r="G8" i="2"/>
  <c r="F8" i="2"/>
  <c r="D8" i="2"/>
  <c r="H7" i="2"/>
  <c r="G7" i="2"/>
  <c r="F7" i="2"/>
  <c r="D7" i="2"/>
  <c r="H6" i="2"/>
  <c r="G6" i="2"/>
  <c r="F6" i="2"/>
  <c r="D6" i="2"/>
  <c r="H5" i="2"/>
  <c r="G5" i="2"/>
  <c r="F5" i="2"/>
  <c r="D5" i="2"/>
  <c r="H4" i="2"/>
  <c r="G4" i="2"/>
  <c r="F4" i="2"/>
  <c r="D4" i="2"/>
  <c r="H3" i="2"/>
  <c r="G3" i="2"/>
  <c r="F3" i="2"/>
  <c r="D3" i="2"/>
  <c r="H2" i="2"/>
  <c r="G2" i="2"/>
  <c r="F2" i="2"/>
  <c r="D2" i="2"/>
</calcChain>
</file>

<file path=xl/sharedStrings.xml><?xml version="1.0" encoding="utf-8"?>
<sst xmlns="http://schemas.openxmlformats.org/spreadsheetml/2006/main" count="41" uniqueCount="18">
  <si>
    <t>Dia</t>
  </si>
  <si>
    <t>DOW</t>
  </si>
  <si>
    <t>Data</t>
  </si>
  <si>
    <t>Meta Dia</t>
  </si>
  <si>
    <t>% do Mes</t>
  </si>
  <si>
    <t>APP</t>
  </si>
  <si>
    <t>Site</t>
  </si>
  <si>
    <t>MKP</t>
  </si>
  <si>
    <t>Share APP</t>
  </si>
  <si>
    <t>Share Site</t>
  </si>
  <si>
    <t>Share MKT</t>
  </si>
  <si>
    <t>Ter</t>
  </si>
  <si>
    <t>Qua</t>
  </si>
  <si>
    <t>Qui</t>
  </si>
  <si>
    <t>Sex</t>
  </si>
  <si>
    <t>Sab</t>
  </si>
  <si>
    <t>Dom</t>
  </si>
  <si>
    <t>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</si>
</sst>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Tenorite"/>
    </font>
    <font>
      <sz val="9"/>
      <color theme="1"/>
      <name val="Tenorite"/>
    </font>
    <font>
      <sz val="9"/>
      <name val="Tenorite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DCDB"/>
        <bgColor rgb="FFF2DCD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10" fontId="3" fillId="5" borderId="1" xfId="2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10" fontId="3" fillId="6" borderId="1" xfId="2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6" fontId="3" fillId="2" borderId="0" xfId="0" applyNumberFormat="1" applyFont="1" applyFill="1"/>
    <xf numFmtId="1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74F9-C325-4702-A638-9DA648D5637F}">
  <dimension ref="A1:K32"/>
  <sheetViews>
    <sheetView tabSelected="1" topLeftCell="B1" workbookViewId="0">
      <selection activeCell="H32" sqref="H32"/>
    </sheetView>
  </sheetViews>
  <sheetFormatPr defaultRowHeight="15" x14ac:dyDescent="0.25"/>
  <cols>
    <col min="1" max="8" width="16.42578125" customWidth="1"/>
    <col min="9" max="9" width="13.7109375" bestFit="1" customWidth="1"/>
    <col min="10" max="10" width="1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s="3" t="s">
        <v>11</v>
      </c>
      <c r="C2" s="4">
        <v>46266</v>
      </c>
      <c r="D2" s="5">
        <f>E2*$D$32</f>
        <v>1921923.032693333</v>
      </c>
      <c r="E2" s="6">
        <v>3.5106666666666668E-2</v>
      </c>
      <c r="F2" s="7">
        <f>$E2*F$32</f>
        <v>910752.94466666668</v>
      </c>
      <c r="G2" s="7">
        <f t="shared" ref="G2:H17" si="0">$E2*G$32</f>
        <v>508832.2351466667</v>
      </c>
      <c r="H2" s="7">
        <f t="shared" si="0"/>
        <v>502337.85288000002</v>
      </c>
      <c r="I2" s="19">
        <f t="shared" ref="I2:I31" si="1">F2/$F$32</f>
        <v>3.5106666666666668E-2</v>
      </c>
      <c r="J2" s="19">
        <f>G2/$G$32</f>
        <v>3.5106666666666668E-2</v>
      </c>
      <c r="K2" s="19">
        <f>H2/$H$32</f>
        <v>3.5106666666666668E-2</v>
      </c>
    </row>
    <row r="3" spans="1:11" x14ac:dyDescent="0.25">
      <c r="A3" s="3">
        <v>2</v>
      </c>
      <c r="B3" s="3" t="s">
        <v>12</v>
      </c>
      <c r="C3" s="4">
        <v>46267</v>
      </c>
      <c r="D3" s="5">
        <f t="shared" ref="D3:D31" si="2">E3*$D$32</f>
        <v>2004040.8986933329</v>
      </c>
      <c r="E3" s="6">
        <v>3.6606666666666669E-2</v>
      </c>
      <c r="F3" s="7">
        <f t="shared" ref="F3:H31" si="3">$E3*F$32</f>
        <v>949666.61966666672</v>
      </c>
      <c r="G3" s="7">
        <f t="shared" si="0"/>
        <v>530573.07314666675</v>
      </c>
      <c r="H3" s="7">
        <f t="shared" si="0"/>
        <v>523801.20588000002</v>
      </c>
      <c r="I3" s="19">
        <f t="shared" si="1"/>
        <v>3.6606666666666669E-2</v>
      </c>
      <c r="J3" s="19">
        <f t="shared" ref="J3:J31" si="4">G3/$G$32</f>
        <v>3.6606666666666669E-2</v>
      </c>
      <c r="K3" s="19">
        <f t="shared" ref="K3:K31" si="5">H3/$H$32</f>
        <v>3.6606666666666669E-2</v>
      </c>
    </row>
    <row r="4" spans="1:11" x14ac:dyDescent="0.25">
      <c r="A4" s="3">
        <v>3</v>
      </c>
      <c r="B4" s="3" t="s">
        <v>13</v>
      </c>
      <c r="C4" s="4">
        <v>46268</v>
      </c>
      <c r="D4" s="5">
        <f t="shared" si="2"/>
        <v>1949295.654693333</v>
      </c>
      <c r="E4" s="6">
        <v>3.5606666666666668E-2</v>
      </c>
      <c r="F4" s="7">
        <f t="shared" si="3"/>
        <v>923724.16966666665</v>
      </c>
      <c r="G4" s="7">
        <f t="shared" si="0"/>
        <v>516079.1811466667</v>
      </c>
      <c r="H4" s="7">
        <f t="shared" si="0"/>
        <v>509492.30388000002</v>
      </c>
      <c r="I4" s="19">
        <f t="shared" si="1"/>
        <v>3.5606666666666668E-2</v>
      </c>
      <c r="J4" s="19">
        <f t="shared" si="4"/>
        <v>3.5606666666666668E-2</v>
      </c>
      <c r="K4" s="19">
        <f t="shared" si="5"/>
        <v>3.5606666666666668E-2</v>
      </c>
    </row>
    <row r="5" spans="1:11" x14ac:dyDescent="0.25">
      <c r="A5" s="3">
        <v>4</v>
      </c>
      <c r="B5" s="3" t="s">
        <v>14</v>
      </c>
      <c r="C5" s="4">
        <v>46269</v>
      </c>
      <c r="D5" s="5">
        <f t="shared" si="2"/>
        <v>2064260.6670933331</v>
      </c>
      <c r="E5" s="6">
        <v>3.7706666666666673E-2</v>
      </c>
      <c r="F5" s="7">
        <f t="shared" si="3"/>
        <v>978203.31466666679</v>
      </c>
      <c r="G5" s="7">
        <f t="shared" si="0"/>
        <v>546516.35434666672</v>
      </c>
      <c r="H5" s="7">
        <f t="shared" si="0"/>
        <v>539540.99808000005</v>
      </c>
      <c r="I5" s="19">
        <f t="shared" si="1"/>
        <v>3.7706666666666673E-2</v>
      </c>
      <c r="J5" s="19">
        <f t="shared" si="4"/>
        <v>3.7706666666666673E-2</v>
      </c>
      <c r="K5" s="19">
        <f t="shared" si="5"/>
        <v>3.7706666666666673E-2</v>
      </c>
    </row>
    <row r="6" spans="1:11" x14ac:dyDescent="0.25">
      <c r="A6" s="8">
        <v>5</v>
      </c>
      <c r="B6" s="8" t="s">
        <v>15</v>
      </c>
      <c r="C6" s="9">
        <v>46270</v>
      </c>
      <c r="D6" s="10">
        <f t="shared" si="2"/>
        <v>1850754.2154933331</v>
      </c>
      <c r="E6" s="11">
        <v>3.3806666666666672E-2</v>
      </c>
      <c r="F6" s="7">
        <f t="shared" si="3"/>
        <v>877027.75966666685</v>
      </c>
      <c r="G6" s="7">
        <f t="shared" si="0"/>
        <v>489990.17554666672</v>
      </c>
      <c r="H6" s="7">
        <f t="shared" si="0"/>
        <v>483736.28028000006</v>
      </c>
      <c r="I6" s="19">
        <f t="shared" si="1"/>
        <v>3.3806666666666672E-2</v>
      </c>
      <c r="J6" s="19">
        <f t="shared" si="4"/>
        <v>3.3806666666666672E-2</v>
      </c>
      <c r="K6" s="19">
        <f t="shared" si="5"/>
        <v>3.3806666666666672E-2</v>
      </c>
    </row>
    <row r="7" spans="1:11" x14ac:dyDescent="0.25">
      <c r="A7" s="12">
        <v>6</v>
      </c>
      <c r="B7" s="12" t="s">
        <v>16</v>
      </c>
      <c r="C7" s="13">
        <v>46271</v>
      </c>
      <c r="D7" s="14">
        <f t="shared" si="2"/>
        <v>1571553.4710933331</v>
      </c>
      <c r="E7" s="15">
        <v>2.8706666666666672E-2</v>
      </c>
      <c r="F7" s="7">
        <f t="shared" si="3"/>
        <v>744721.26466666686</v>
      </c>
      <c r="G7" s="7">
        <f t="shared" si="0"/>
        <v>416071.32634666673</v>
      </c>
      <c r="H7" s="7">
        <f t="shared" si="0"/>
        <v>410760.88008000009</v>
      </c>
      <c r="I7" s="19">
        <f t="shared" si="1"/>
        <v>2.8706666666666675E-2</v>
      </c>
      <c r="J7" s="19">
        <f t="shared" si="4"/>
        <v>2.8706666666666672E-2</v>
      </c>
      <c r="K7" s="19">
        <f t="shared" si="5"/>
        <v>2.8706666666666672E-2</v>
      </c>
    </row>
    <row r="8" spans="1:11" x14ac:dyDescent="0.25">
      <c r="A8" s="3">
        <v>7</v>
      </c>
      <c r="B8" s="3" t="s">
        <v>17</v>
      </c>
      <c r="C8" s="4">
        <v>46272</v>
      </c>
      <c r="D8" s="5">
        <f t="shared" si="2"/>
        <v>1560604.4222933331</v>
      </c>
      <c r="E8" s="6">
        <v>2.850666666666667E-2</v>
      </c>
      <c r="F8" s="7">
        <f t="shared" si="3"/>
        <v>739532.77466666675</v>
      </c>
      <c r="G8" s="7">
        <f t="shared" si="0"/>
        <v>413172.54794666672</v>
      </c>
      <c r="H8" s="7">
        <f t="shared" si="0"/>
        <v>407899.09968000004</v>
      </c>
      <c r="I8" s="19">
        <f t="shared" si="1"/>
        <v>2.850666666666667E-2</v>
      </c>
      <c r="J8" s="19">
        <f t="shared" si="4"/>
        <v>2.850666666666667E-2</v>
      </c>
      <c r="K8" s="19">
        <f t="shared" si="5"/>
        <v>2.850666666666667E-2</v>
      </c>
    </row>
    <row r="9" spans="1:11" x14ac:dyDescent="0.25">
      <c r="A9" s="3">
        <v>8</v>
      </c>
      <c r="B9" s="3" t="s">
        <v>11</v>
      </c>
      <c r="C9" s="4">
        <v>46273</v>
      </c>
      <c r="D9" s="5">
        <f t="shared" si="2"/>
        <v>2119005.9110933328</v>
      </c>
      <c r="E9" s="6">
        <v>3.8706666666666667E-2</v>
      </c>
      <c r="F9" s="7">
        <f t="shared" si="3"/>
        <v>1004145.7646666666</v>
      </c>
      <c r="G9" s="7">
        <f t="shared" si="0"/>
        <v>561010.24634666671</v>
      </c>
      <c r="H9" s="7">
        <f t="shared" si="0"/>
        <v>553849.90008000005</v>
      </c>
      <c r="I9" s="19">
        <f t="shared" si="1"/>
        <v>3.8706666666666667E-2</v>
      </c>
      <c r="J9" s="19">
        <f t="shared" si="4"/>
        <v>3.8706666666666667E-2</v>
      </c>
      <c r="K9" s="19">
        <f t="shared" si="5"/>
        <v>3.8706666666666667E-2</v>
      </c>
    </row>
    <row r="10" spans="1:11" x14ac:dyDescent="0.25">
      <c r="A10" s="3">
        <v>9</v>
      </c>
      <c r="B10" s="3" t="s">
        <v>12</v>
      </c>
      <c r="C10" s="4">
        <v>46274</v>
      </c>
      <c r="D10" s="5">
        <f t="shared" si="2"/>
        <v>2053311.6182933329</v>
      </c>
      <c r="E10" s="6">
        <v>3.7506666666666667E-2</v>
      </c>
      <c r="F10" s="7">
        <f t="shared" si="3"/>
        <v>973014.82466666668</v>
      </c>
      <c r="G10" s="7">
        <f t="shared" si="0"/>
        <v>543617.57594666665</v>
      </c>
      <c r="H10" s="7">
        <f t="shared" si="0"/>
        <v>536679.21768</v>
      </c>
      <c r="I10" s="19">
        <f t="shared" si="1"/>
        <v>3.7506666666666667E-2</v>
      </c>
      <c r="J10" s="19">
        <f t="shared" si="4"/>
        <v>3.7506666666666667E-2</v>
      </c>
      <c r="K10" s="19">
        <f t="shared" si="5"/>
        <v>3.7506666666666667E-2</v>
      </c>
    </row>
    <row r="11" spans="1:11" x14ac:dyDescent="0.25">
      <c r="A11" s="3">
        <v>10</v>
      </c>
      <c r="B11" s="3" t="s">
        <v>13</v>
      </c>
      <c r="C11" s="4">
        <v>46275</v>
      </c>
      <c r="D11" s="5">
        <f t="shared" si="2"/>
        <v>1987617.3254933329</v>
      </c>
      <c r="E11" s="6">
        <v>3.6306666666666668E-2</v>
      </c>
      <c r="F11" s="7">
        <f t="shared" si="3"/>
        <v>941883.88466666674</v>
      </c>
      <c r="G11" s="7">
        <f t="shared" si="0"/>
        <v>526224.90554666671</v>
      </c>
      <c r="H11" s="7">
        <f t="shared" si="0"/>
        <v>519508.53528000001</v>
      </c>
      <c r="I11" s="19">
        <f t="shared" si="1"/>
        <v>3.6306666666666668E-2</v>
      </c>
      <c r="J11" s="19">
        <f t="shared" si="4"/>
        <v>3.6306666666666668E-2</v>
      </c>
      <c r="K11" s="19">
        <f t="shared" si="5"/>
        <v>3.6306666666666668E-2</v>
      </c>
    </row>
    <row r="12" spans="1:11" x14ac:dyDescent="0.25">
      <c r="A12" s="3">
        <v>11</v>
      </c>
      <c r="B12" s="3" t="s">
        <v>14</v>
      </c>
      <c r="C12" s="4">
        <v>46276</v>
      </c>
      <c r="D12" s="5">
        <f t="shared" si="2"/>
        <v>1976668.2766933329</v>
      </c>
      <c r="E12" s="6">
        <v>3.6106666666666669E-2</v>
      </c>
      <c r="F12" s="7">
        <f t="shared" si="3"/>
        <v>936695.39466666675</v>
      </c>
      <c r="G12" s="7">
        <f t="shared" si="0"/>
        <v>523326.12714666669</v>
      </c>
      <c r="H12" s="7">
        <f t="shared" si="0"/>
        <v>516646.75488000002</v>
      </c>
      <c r="I12" s="19">
        <f t="shared" si="1"/>
        <v>3.6106666666666669E-2</v>
      </c>
      <c r="J12" s="19">
        <f t="shared" si="4"/>
        <v>3.6106666666666669E-2</v>
      </c>
      <c r="K12" s="19">
        <f t="shared" si="5"/>
        <v>3.6106666666666669E-2</v>
      </c>
    </row>
    <row r="13" spans="1:11" x14ac:dyDescent="0.25">
      <c r="A13" s="8">
        <v>12</v>
      </c>
      <c r="B13" s="8" t="s">
        <v>15</v>
      </c>
      <c r="C13" s="9">
        <v>46277</v>
      </c>
      <c r="D13" s="10">
        <f t="shared" si="2"/>
        <v>1746738.2518933332</v>
      </c>
      <c r="E13" s="11">
        <v>3.1906666666666673E-2</v>
      </c>
      <c r="F13" s="7">
        <f t="shared" si="3"/>
        <v>827737.10466666683</v>
      </c>
      <c r="G13" s="7">
        <f t="shared" si="0"/>
        <v>462451.78074666677</v>
      </c>
      <c r="H13" s="7">
        <f t="shared" si="0"/>
        <v>456549.36648000008</v>
      </c>
      <c r="I13" s="19">
        <f t="shared" si="1"/>
        <v>3.1906666666666673E-2</v>
      </c>
      <c r="J13" s="19">
        <f t="shared" si="4"/>
        <v>3.1906666666666673E-2</v>
      </c>
      <c r="K13" s="19">
        <f t="shared" si="5"/>
        <v>3.1906666666666673E-2</v>
      </c>
    </row>
    <row r="14" spans="1:11" x14ac:dyDescent="0.25">
      <c r="A14" s="12">
        <v>13</v>
      </c>
      <c r="B14" s="12" t="s">
        <v>16</v>
      </c>
      <c r="C14" s="13">
        <v>46278</v>
      </c>
      <c r="D14" s="14">
        <f t="shared" si="2"/>
        <v>1358047.0194933333</v>
      </c>
      <c r="E14" s="15">
        <v>2.4806666666666671E-2</v>
      </c>
      <c r="F14" s="7">
        <f t="shared" si="3"/>
        <v>643545.70966666681</v>
      </c>
      <c r="G14" s="7">
        <f t="shared" si="0"/>
        <v>359545.14754666673</v>
      </c>
      <c r="H14" s="7">
        <f t="shared" si="0"/>
        <v>354956.16228000005</v>
      </c>
      <c r="I14" s="19">
        <f t="shared" si="1"/>
        <v>2.4806666666666671E-2</v>
      </c>
      <c r="J14" s="19">
        <f t="shared" si="4"/>
        <v>2.4806666666666671E-2</v>
      </c>
      <c r="K14" s="19">
        <f t="shared" si="5"/>
        <v>2.4806666666666671E-2</v>
      </c>
    </row>
    <row r="15" spans="1:11" x14ac:dyDescent="0.25">
      <c r="A15" s="3">
        <v>14</v>
      </c>
      <c r="B15" s="3" t="s">
        <v>17</v>
      </c>
      <c r="C15" s="4">
        <v>46279</v>
      </c>
      <c r="D15" s="5">
        <f t="shared" si="2"/>
        <v>1943821.1302933332</v>
      </c>
      <c r="E15" s="6">
        <v>3.5506666666666672E-2</v>
      </c>
      <c r="F15" s="7">
        <f t="shared" si="3"/>
        <v>921129.92466666678</v>
      </c>
      <c r="G15" s="7">
        <f t="shared" si="0"/>
        <v>514629.79194666672</v>
      </c>
      <c r="H15" s="7">
        <f t="shared" si="0"/>
        <v>508061.41368000006</v>
      </c>
      <c r="I15" s="19">
        <f t="shared" si="1"/>
        <v>3.5506666666666672E-2</v>
      </c>
      <c r="J15" s="19">
        <f t="shared" si="4"/>
        <v>3.5506666666666672E-2</v>
      </c>
      <c r="K15" s="19">
        <f t="shared" si="5"/>
        <v>3.5506666666666672E-2</v>
      </c>
    </row>
    <row r="16" spans="1:11" x14ac:dyDescent="0.25">
      <c r="A16" s="3">
        <v>15</v>
      </c>
      <c r="B16" s="3" t="s">
        <v>11</v>
      </c>
      <c r="C16" s="4">
        <v>46280</v>
      </c>
      <c r="D16" s="5">
        <f t="shared" si="2"/>
        <v>1976668.2766933329</v>
      </c>
      <c r="E16" s="6">
        <v>3.6106666666666669E-2</v>
      </c>
      <c r="F16" s="7">
        <f t="shared" si="3"/>
        <v>936695.39466666675</v>
      </c>
      <c r="G16" s="7">
        <f t="shared" si="0"/>
        <v>523326.12714666669</v>
      </c>
      <c r="H16" s="7">
        <f t="shared" si="0"/>
        <v>516646.75488000002</v>
      </c>
      <c r="I16" s="19">
        <f t="shared" si="1"/>
        <v>3.6106666666666669E-2</v>
      </c>
      <c r="J16" s="19">
        <f t="shared" si="4"/>
        <v>3.6106666666666669E-2</v>
      </c>
      <c r="K16" s="19">
        <f t="shared" si="5"/>
        <v>3.6106666666666669E-2</v>
      </c>
    </row>
    <row r="17" spans="1:11" x14ac:dyDescent="0.25">
      <c r="A17" s="3">
        <v>16</v>
      </c>
      <c r="B17" s="3" t="s">
        <v>12</v>
      </c>
      <c r="C17" s="4">
        <v>46281</v>
      </c>
      <c r="D17" s="5">
        <f t="shared" si="2"/>
        <v>1938346.605893333</v>
      </c>
      <c r="E17" s="6">
        <v>3.540666666666667E-2</v>
      </c>
      <c r="F17" s="7">
        <f t="shared" si="3"/>
        <v>918535.67966666678</v>
      </c>
      <c r="G17" s="7">
        <f t="shared" si="0"/>
        <v>513180.40274666669</v>
      </c>
      <c r="H17" s="7">
        <f t="shared" si="0"/>
        <v>506630.52348000003</v>
      </c>
      <c r="I17" s="19">
        <f t="shared" si="1"/>
        <v>3.540666666666667E-2</v>
      </c>
      <c r="J17" s="19">
        <f t="shared" si="4"/>
        <v>3.540666666666667E-2</v>
      </c>
      <c r="K17" s="19">
        <f t="shared" si="5"/>
        <v>3.540666666666667E-2</v>
      </c>
    </row>
    <row r="18" spans="1:11" x14ac:dyDescent="0.25">
      <c r="A18" s="3">
        <v>17</v>
      </c>
      <c r="B18" s="3" t="s">
        <v>13</v>
      </c>
      <c r="C18" s="4">
        <v>46282</v>
      </c>
      <c r="D18" s="5">
        <f t="shared" si="2"/>
        <v>1932872.0814933332</v>
      </c>
      <c r="E18" s="6">
        <v>3.5306666666666674E-2</v>
      </c>
      <c r="F18" s="7">
        <f t="shared" si="3"/>
        <v>915941.4346666669</v>
      </c>
      <c r="G18" s="7">
        <f t="shared" si="3"/>
        <v>511731.01354666677</v>
      </c>
      <c r="H18" s="7">
        <f t="shared" si="3"/>
        <v>505199.63328000013</v>
      </c>
      <c r="I18" s="19">
        <f t="shared" si="1"/>
        <v>3.5306666666666674E-2</v>
      </c>
      <c r="J18" s="19">
        <f t="shared" si="4"/>
        <v>3.5306666666666674E-2</v>
      </c>
      <c r="K18" s="19">
        <f t="shared" si="5"/>
        <v>3.5306666666666674E-2</v>
      </c>
    </row>
    <row r="19" spans="1:11" x14ac:dyDescent="0.25">
      <c r="A19" s="3">
        <v>18</v>
      </c>
      <c r="B19" s="3" t="s">
        <v>14</v>
      </c>
      <c r="C19" s="4">
        <v>46283</v>
      </c>
      <c r="D19" s="5">
        <f t="shared" si="2"/>
        <v>1921923.032693333</v>
      </c>
      <c r="E19" s="6">
        <v>3.5106666666666668E-2</v>
      </c>
      <c r="F19" s="7">
        <f t="shared" si="3"/>
        <v>910752.94466666668</v>
      </c>
      <c r="G19" s="7">
        <f t="shared" si="3"/>
        <v>508832.2351466667</v>
      </c>
      <c r="H19" s="7">
        <f t="shared" si="3"/>
        <v>502337.85288000002</v>
      </c>
      <c r="I19" s="19">
        <f t="shared" si="1"/>
        <v>3.5106666666666668E-2</v>
      </c>
      <c r="J19" s="19">
        <f t="shared" si="4"/>
        <v>3.5106666666666668E-2</v>
      </c>
      <c r="K19" s="19">
        <f t="shared" si="5"/>
        <v>3.5106666666666668E-2</v>
      </c>
    </row>
    <row r="20" spans="1:11" x14ac:dyDescent="0.25">
      <c r="A20" s="8">
        <v>19</v>
      </c>
      <c r="B20" s="8" t="s">
        <v>15</v>
      </c>
      <c r="C20" s="9">
        <v>46284</v>
      </c>
      <c r="D20" s="10">
        <f t="shared" si="2"/>
        <v>1642722.288293333</v>
      </c>
      <c r="E20" s="11">
        <v>3.0006666666666671E-2</v>
      </c>
      <c r="F20" s="7">
        <f t="shared" si="3"/>
        <v>778446.4496666668</v>
      </c>
      <c r="G20" s="7">
        <f t="shared" si="3"/>
        <v>434913.38594666671</v>
      </c>
      <c r="H20" s="7">
        <f t="shared" si="3"/>
        <v>429362.45268000005</v>
      </c>
      <c r="I20" s="19">
        <f t="shared" si="1"/>
        <v>3.0006666666666671E-2</v>
      </c>
      <c r="J20" s="19">
        <f t="shared" si="4"/>
        <v>3.0006666666666671E-2</v>
      </c>
      <c r="K20" s="19">
        <f t="shared" si="5"/>
        <v>3.0006666666666671E-2</v>
      </c>
    </row>
    <row r="21" spans="1:11" x14ac:dyDescent="0.25">
      <c r="A21" s="12">
        <v>20</v>
      </c>
      <c r="B21" s="12" t="s">
        <v>16</v>
      </c>
      <c r="C21" s="13">
        <v>46285</v>
      </c>
      <c r="D21" s="14">
        <f t="shared" si="2"/>
        <v>1308776.2998933331</v>
      </c>
      <c r="E21" s="15">
        <v>2.390666666666667E-2</v>
      </c>
      <c r="F21" s="7">
        <f t="shared" si="3"/>
        <v>620197.50466666673</v>
      </c>
      <c r="G21" s="7">
        <f t="shared" si="3"/>
        <v>346500.64474666672</v>
      </c>
      <c r="H21" s="7">
        <f t="shared" si="3"/>
        <v>342078.15048000007</v>
      </c>
      <c r="I21" s="19">
        <f t="shared" si="1"/>
        <v>2.390666666666667E-2</v>
      </c>
      <c r="J21" s="19">
        <f t="shared" si="4"/>
        <v>2.390666666666667E-2</v>
      </c>
      <c r="K21" s="19">
        <f t="shared" si="5"/>
        <v>2.390666666666667E-2</v>
      </c>
    </row>
    <row r="22" spans="1:11" x14ac:dyDescent="0.25">
      <c r="A22" s="3">
        <v>21</v>
      </c>
      <c r="B22" s="3" t="s">
        <v>17</v>
      </c>
      <c r="C22" s="4">
        <v>46286</v>
      </c>
      <c r="D22" s="5">
        <f t="shared" si="2"/>
        <v>1845279.6910933331</v>
      </c>
      <c r="E22" s="6">
        <v>3.3706666666666669E-2</v>
      </c>
      <c r="F22" s="7">
        <f t="shared" si="3"/>
        <v>874433.51466666674</v>
      </c>
      <c r="G22" s="7">
        <f t="shared" si="3"/>
        <v>488540.78634666669</v>
      </c>
      <c r="H22" s="7">
        <f t="shared" si="3"/>
        <v>482305.39008000004</v>
      </c>
      <c r="I22" s="19">
        <f t="shared" si="1"/>
        <v>3.3706666666666669E-2</v>
      </c>
      <c r="J22" s="19">
        <f t="shared" si="4"/>
        <v>3.3706666666666669E-2</v>
      </c>
      <c r="K22" s="19">
        <f t="shared" si="5"/>
        <v>3.3706666666666669E-2</v>
      </c>
    </row>
    <row r="23" spans="1:11" x14ac:dyDescent="0.25">
      <c r="A23" s="3">
        <v>22</v>
      </c>
      <c r="B23" s="3" t="s">
        <v>11</v>
      </c>
      <c r="C23" s="4">
        <v>46287</v>
      </c>
      <c r="D23" s="5">
        <f t="shared" si="2"/>
        <v>1856228.7398933328</v>
      </c>
      <c r="E23" s="6">
        <v>3.3906666666666668E-2</v>
      </c>
      <c r="F23" s="7">
        <f t="shared" si="3"/>
        <v>879622.00466666673</v>
      </c>
      <c r="G23" s="7">
        <f t="shared" si="3"/>
        <v>491439.5647466667</v>
      </c>
      <c r="H23" s="7">
        <f t="shared" si="3"/>
        <v>485167.17048000003</v>
      </c>
      <c r="I23" s="19">
        <f t="shared" si="1"/>
        <v>3.3906666666666668E-2</v>
      </c>
      <c r="J23" s="19">
        <f t="shared" si="4"/>
        <v>3.3906666666666668E-2</v>
      </c>
      <c r="K23" s="19">
        <f t="shared" si="5"/>
        <v>3.3906666666666668E-2</v>
      </c>
    </row>
    <row r="24" spans="1:11" x14ac:dyDescent="0.25">
      <c r="A24" s="3">
        <v>23</v>
      </c>
      <c r="B24" s="3" t="s">
        <v>12</v>
      </c>
      <c r="C24" s="4">
        <v>46288</v>
      </c>
      <c r="D24" s="5">
        <f t="shared" si="2"/>
        <v>1872652.313093333</v>
      </c>
      <c r="E24" s="6">
        <v>3.420666666666667E-2</v>
      </c>
      <c r="F24" s="7">
        <f t="shared" si="3"/>
        <v>887404.73966666672</v>
      </c>
      <c r="G24" s="7">
        <f t="shared" si="3"/>
        <v>495787.73234666669</v>
      </c>
      <c r="H24" s="7">
        <f t="shared" si="3"/>
        <v>489459.84108000004</v>
      </c>
      <c r="I24" s="19">
        <f t="shared" si="1"/>
        <v>3.420666666666667E-2</v>
      </c>
      <c r="J24" s="19">
        <f t="shared" si="4"/>
        <v>3.420666666666667E-2</v>
      </c>
      <c r="K24" s="19">
        <f t="shared" si="5"/>
        <v>3.420666666666667E-2</v>
      </c>
    </row>
    <row r="25" spans="1:11" x14ac:dyDescent="0.25">
      <c r="A25" s="3">
        <v>24</v>
      </c>
      <c r="B25" s="3" t="s">
        <v>13</v>
      </c>
      <c r="C25" s="4">
        <v>46289</v>
      </c>
      <c r="D25" s="5">
        <f t="shared" si="2"/>
        <v>1889075.886293333</v>
      </c>
      <c r="E25" s="6">
        <v>3.4506666666666672E-2</v>
      </c>
      <c r="F25" s="7">
        <f t="shared" si="3"/>
        <v>895187.47466666682</v>
      </c>
      <c r="G25" s="7">
        <f t="shared" si="3"/>
        <v>500135.89994666673</v>
      </c>
      <c r="H25" s="7">
        <f t="shared" si="3"/>
        <v>493752.51168000005</v>
      </c>
      <c r="I25" s="19">
        <f t="shared" si="1"/>
        <v>3.4506666666666672E-2</v>
      </c>
      <c r="J25" s="19">
        <f t="shared" si="4"/>
        <v>3.4506666666666672E-2</v>
      </c>
      <c r="K25" s="19">
        <f t="shared" si="5"/>
        <v>3.4506666666666672E-2</v>
      </c>
    </row>
    <row r="26" spans="1:11" x14ac:dyDescent="0.25">
      <c r="A26" s="3">
        <v>25</v>
      </c>
      <c r="B26" s="3" t="s">
        <v>14</v>
      </c>
      <c r="C26" s="4">
        <v>46290</v>
      </c>
      <c r="D26" s="5">
        <f t="shared" si="2"/>
        <v>1839805.1666933333</v>
      </c>
      <c r="E26" s="6">
        <v>3.3606666666666674E-2</v>
      </c>
      <c r="F26" s="7">
        <f t="shared" si="3"/>
        <v>871839.26966666686</v>
      </c>
      <c r="G26" s="7">
        <f t="shared" si="3"/>
        <v>487091.39714666677</v>
      </c>
      <c r="H26" s="7">
        <f t="shared" si="3"/>
        <v>480874.49988000008</v>
      </c>
      <c r="I26" s="19">
        <f t="shared" si="1"/>
        <v>3.3606666666666674E-2</v>
      </c>
      <c r="J26" s="19">
        <f t="shared" si="4"/>
        <v>3.3606666666666674E-2</v>
      </c>
      <c r="K26" s="19">
        <f t="shared" si="5"/>
        <v>3.3606666666666674E-2</v>
      </c>
    </row>
    <row r="27" spans="1:11" x14ac:dyDescent="0.25">
      <c r="A27" s="8">
        <v>26</v>
      </c>
      <c r="B27" s="8" t="s">
        <v>15</v>
      </c>
      <c r="C27" s="9">
        <v>46291</v>
      </c>
      <c r="D27" s="10">
        <f t="shared" si="2"/>
        <v>1642722.288293333</v>
      </c>
      <c r="E27" s="11">
        <v>3.0006666666666671E-2</v>
      </c>
      <c r="F27" s="7">
        <f t="shared" si="3"/>
        <v>778446.4496666668</v>
      </c>
      <c r="G27" s="7">
        <f t="shared" si="3"/>
        <v>434913.38594666671</v>
      </c>
      <c r="H27" s="7">
        <f t="shared" si="3"/>
        <v>429362.45268000005</v>
      </c>
      <c r="I27" s="19">
        <f t="shared" si="1"/>
        <v>3.0006666666666671E-2</v>
      </c>
      <c r="J27" s="19">
        <f t="shared" si="4"/>
        <v>3.0006666666666671E-2</v>
      </c>
      <c r="K27" s="19">
        <f t="shared" si="5"/>
        <v>3.0006666666666671E-2</v>
      </c>
    </row>
    <row r="28" spans="1:11" x14ac:dyDescent="0.25">
      <c r="A28" s="12">
        <v>27</v>
      </c>
      <c r="B28" s="12" t="s">
        <v>16</v>
      </c>
      <c r="C28" s="13">
        <v>46292</v>
      </c>
      <c r="D28" s="14">
        <f t="shared" si="2"/>
        <v>1336148.9218933331</v>
      </c>
      <c r="E28" s="15">
        <v>2.440666666666667E-2</v>
      </c>
      <c r="F28" s="7">
        <f t="shared" si="3"/>
        <v>633168.72966666671</v>
      </c>
      <c r="G28" s="7">
        <f t="shared" si="3"/>
        <v>353747.59074666671</v>
      </c>
      <c r="H28" s="7">
        <f t="shared" si="3"/>
        <v>349232.60148000007</v>
      </c>
      <c r="I28" s="19">
        <f t="shared" si="1"/>
        <v>2.4406666666666667E-2</v>
      </c>
      <c r="J28" s="19">
        <f t="shared" si="4"/>
        <v>2.440666666666667E-2</v>
      </c>
      <c r="K28" s="19">
        <f t="shared" si="5"/>
        <v>2.440666666666667E-2</v>
      </c>
    </row>
    <row r="29" spans="1:11" x14ac:dyDescent="0.25">
      <c r="A29" s="3">
        <v>28</v>
      </c>
      <c r="B29" s="3" t="s">
        <v>17</v>
      </c>
      <c r="C29" s="4">
        <v>46293</v>
      </c>
      <c r="D29" s="5">
        <f t="shared" si="2"/>
        <v>1878126.8374933333</v>
      </c>
      <c r="E29" s="6">
        <v>3.4306666666666673E-2</v>
      </c>
      <c r="F29" s="7">
        <f t="shared" si="3"/>
        <v>889998.98466666683</v>
      </c>
      <c r="G29" s="7">
        <f t="shared" si="3"/>
        <v>497237.12154666678</v>
      </c>
      <c r="H29" s="7">
        <f t="shared" si="3"/>
        <v>490890.73128000007</v>
      </c>
      <c r="I29" s="19">
        <f t="shared" si="1"/>
        <v>3.4306666666666673E-2</v>
      </c>
      <c r="J29" s="19">
        <f t="shared" si="4"/>
        <v>3.4306666666666673E-2</v>
      </c>
      <c r="K29" s="19">
        <f t="shared" si="5"/>
        <v>3.4306666666666673E-2</v>
      </c>
    </row>
    <row r="30" spans="1:11" x14ac:dyDescent="0.25">
      <c r="A30" s="3">
        <v>29</v>
      </c>
      <c r="B30" s="3" t="s">
        <v>11</v>
      </c>
      <c r="C30" s="4">
        <v>46294</v>
      </c>
      <c r="D30" s="5">
        <f t="shared" si="2"/>
        <v>1889075.886293333</v>
      </c>
      <c r="E30" s="6">
        <v>3.4506666666666672E-2</v>
      </c>
      <c r="F30" s="7">
        <f t="shared" si="3"/>
        <v>895187.47466666682</v>
      </c>
      <c r="G30" s="7">
        <f t="shared" si="3"/>
        <v>500135.89994666673</v>
      </c>
      <c r="H30" s="7">
        <f t="shared" si="3"/>
        <v>493752.51168000005</v>
      </c>
      <c r="I30" s="19">
        <f t="shared" si="1"/>
        <v>3.4506666666666672E-2</v>
      </c>
      <c r="J30" s="19">
        <f t="shared" si="4"/>
        <v>3.4506666666666672E-2</v>
      </c>
      <c r="K30" s="19">
        <f t="shared" si="5"/>
        <v>3.4506666666666672E-2</v>
      </c>
    </row>
    <row r="31" spans="1:11" x14ac:dyDescent="0.25">
      <c r="A31" s="3">
        <v>30</v>
      </c>
      <c r="B31" s="3" t="s">
        <v>12</v>
      </c>
      <c r="C31" s="4">
        <v>46295</v>
      </c>
      <c r="D31" s="5">
        <f t="shared" si="2"/>
        <v>1867177.7886933328</v>
      </c>
      <c r="E31" s="6">
        <v>3.4106666666666667E-2</v>
      </c>
      <c r="F31" s="7">
        <f t="shared" si="3"/>
        <v>884810.49466666672</v>
      </c>
      <c r="G31" s="7">
        <f t="shared" si="3"/>
        <v>494338.34314666665</v>
      </c>
      <c r="H31" s="7">
        <f t="shared" si="3"/>
        <v>488028.95088000002</v>
      </c>
      <c r="I31" s="19">
        <f t="shared" si="1"/>
        <v>3.4106666666666667E-2</v>
      </c>
      <c r="J31" s="19">
        <f t="shared" si="4"/>
        <v>3.4106666666666667E-2</v>
      </c>
      <c r="K31" s="19">
        <f t="shared" si="5"/>
        <v>3.4106666666666667E-2</v>
      </c>
    </row>
    <row r="32" spans="1:11" x14ac:dyDescent="0.25">
      <c r="A32" s="2"/>
      <c r="B32" s="2"/>
      <c r="C32" s="2"/>
      <c r="D32" s="16">
        <v>54745243.999999985</v>
      </c>
      <c r="E32" s="17">
        <f>100%-SUM(E2:E31)</f>
        <v>0</v>
      </c>
      <c r="F32" s="18">
        <v>25942450</v>
      </c>
      <c r="G32" s="18">
        <v>14493892</v>
      </c>
      <c r="H32" s="18">
        <v>14308902</v>
      </c>
      <c r="I32" s="19"/>
      <c r="J32" s="19"/>
      <c r="K32" s="19"/>
    </row>
  </sheetData>
  <conditionalFormatting sqref="E2:E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92C9D674B9441B386B850737E8BEE" ma:contentTypeVersion="11" ma:contentTypeDescription="Crie um novo documento." ma:contentTypeScope="" ma:versionID="8f126413cfc32c8df2392f0444b69fa2">
  <xsd:schema xmlns:xsd="http://www.w3.org/2001/XMLSchema" xmlns:xs="http://www.w3.org/2001/XMLSchema" xmlns:p="http://schemas.microsoft.com/office/2006/metadata/properties" xmlns:ns2="0b800b5d-199d-4863-8612-6c73f989f897" xmlns:ns3="7b9aa2e8-aa6d-4b61-bb79-426014ca5f4e" targetNamespace="http://schemas.microsoft.com/office/2006/metadata/properties" ma:root="true" ma:fieldsID="c1fbdd3c0bf558502680b3127122e1e7" ns2:_="" ns3:_="">
    <xsd:import namespace="0b800b5d-199d-4863-8612-6c73f989f897"/>
    <xsd:import namespace="7b9aa2e8-aa6d-4b61-bb79-426014ca5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00b5d-199d-4863-8612-6c73f989f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aa2e8-aa6d-4b61-bb79-426014ca5f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d25-cae7-4ddf-a84a-648fb9134777}" ma:internalName="TaxCatchAll" ma:showField="CatchAllData" ma:web="7b9aa2e8-aa6d-4b61-bb79-426014ca5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00b5d-199d-4863-8612-6c73f989f897">
      <Terms xmlns="http://schemas.microsoft.com/office/infopath/2007/PartnerControls"/>
    </lcf76f155ced4ddcb4097134ff3c332f>
    <TaxCatchAll xmlns="7b9aa2e8-aa6d-4b61-bb79-426014ca5f4e" xsi:nil="true"/>
  </documentManagement>
</p:properties>
</file>

<file path=customXml/itemProps1.xml><?xml version="1.0" encoding="utf-8"?>
<ds:datastoreItem xmlns:ds="http://schemas.openxmlformats.org/officeDocument/2006/customXml" ds:itemID="{646A22D4-0F87-41D2-AF6F-9C568BE2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CB8C2-1A7C-4560-B592-8F3FF2CB43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00b5d-199d-4863-8612-6c73f989f897"/>
    <ds:schemaRef ds:uri="7b9aa2e8-aa6d-4b61-bb79-426014ca5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048CD5-437D-4078-9B13-DBA5E67ABACD}">
  <ds:schemaRefs>
    <ds:schemaRef ds:uri="0b800b5d-199d-4863-8612-6c73f989f897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7b9aa2e8-aa6d-4b61-bb79-426014ca5f4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da Silva Alves</cp:lastModifiedBy>
  <cp:revision/>
  <dcterms:created xsi:type="dcterms:W3CDTF">2026-09-01T11:51:02Z</dcterms:created>
  <dcterms:modified xsi:type="dcterms:W3CDTF">2026-09-07T15:57:51Z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0x01010005D92C9D674B9441B386B850737E8BEE</vt:lpwstr>
  </property>
  <property fmtid="{D5CDD505-2E9C-101B-9397-08002B2CF9AE}" pid="3" name="MediaServiceImageTags">
    <vt:lpwstr/>
  </property>
</Properties>
</file>