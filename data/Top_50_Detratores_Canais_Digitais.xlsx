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10" fillId="5" borderId="2" pivotButton="0" quotePrefix="0" xfId="0"/>
    <xf numFmtId="165" fontId="11" fillId="5" borderId="2" pivotButton="0" quotePrefix="0" xfId="0"/>
    <xf numFmtId="166" fontId="11" fillId="5" borderId="2" pivotButton="0" quotePrefix="0" xfId="0"/>
    <xf numFmtId="3" fontId="10" fillId="5" borderId="2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10:52:58 (10:52)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11801.58</v>
      </c>
      <c r="E5" s="7" t="n">
        <v>26228.82</v>
      </c>
      <c r="F5" s="8" t="n">
        <v>-14427.24</v>
      </c>
      <c r="G5" s="9" t="n">
        <v>-0.55</v>
      </c>
      <c r="H5" s="10" t="n">
        <v>155</v>
      </c>
      <c r="I5" s="11" t="n">
        <v>0.14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8237.6</v>
      </c>
      <c r="E6" s="18" t="n">
        <v>17698.96</v>
      </c>
      <c r="F6" s="19" t="n">
        <v>-9461.360000000001</v>
      </c>
      <c r="G6" s="20" t="n">
        <v>-0.535</v>
      </c>
      <c r="H6" s="21" t="n">
        <v>115</v>
      </c>
      <c r="I6" s="22" t="n">
        <v>0.1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3998</v>
      </c>
      <c r="E7" s="7" t="n">
        <v>10670.71</v>
      </c>
      <c r="F7" s="8" t="n">
        <v>-6672.71</v>
      </c>
      <c r="G7" s="9" t="n">
        <v>-0.625</v>
      </c>
      <c r="H7" s="10" t="n">
        <v>10</v>
      </c>
      <c r="I7" s="11" t="n">
        <v>0.01</v>
      </c>
      <c r="J7" s="4" t="inlineStr">
        <is>
          <t>🚨 Ruptura Logística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2596.72</v>
      </c>
      <c r="E8" s="18" t="n">
        <v>7482.46</v>
      </c>
      <c r="F8" s="19" t="n">
        <v>-4885.74</v>
      </c>
      <c r="G8" s="20" t="n">
        <v>-0.653</v>
      </c>
      <c r="H8" s="21" t="n">
        <v>339</v>
      </c>
      <c r="I8" s="22" t="n">
        <v>0.3</v>
      </c>
      <c r="J8" s="15" t="inlineStr">
        <is>
          <t>🚨 Ruptura Logística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1998</v>
      </c>
      <c r="E9" s="7" t="n">
        <v>6782.27</v>
      </c>
      <c r="F9" s="8" t="n">
        <v>-4784.27</v>
      </c>
      <c r="G9" s="9" t="n">
        <v>-0.705</v>
      </c>
      <c r="H9" s="10" t="n">
        <v>286</v>
      </c>
      <c r="I9" s="11" t="n">
        <v>0.25</v>
      </c>
      <c r="J9" s="4" t="inlineStr">
        <is>
          <t>🚨 Ruptura Logística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</row>
    <row r="10" ht="20" customHeight="1">
      <c r="A10" s="15" t="n">
        <v>6</v>
      </c>
      <c r="B10" s="16" t="inlineStr">
        <is>
          <t>10042968</t>
        </is>
      </c>
      <c r="C10" s="17" t="inlineStr">
        <is>
          <t>FR PAMPERS CONFORTSEC JUMBO XG 116UN</t>
        </is>
      </c>
      <c r="D10" s="18" t="n">
        <v>1520.92</v>
      </c>
      <c r="E10" s="18" t="n">
        <v>4615.84</v>
      </c>
      <c r="F10" s="19" t="n">
        <v>-3094.92</v>
      </c>
      <c r="G10" s="20" t="n">
        <v>-0.67</v>
      </c>
      <c r="H10" s="21" t="n">
        <v>55</v>
      </c>
      <c r="I10" s="22" t="n">
        <v>0.05</v>
      </c>
      <c r="J10" s="15" t="inlineStr">
        <is>
          <t>🚨 Ruptura Logística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1227.61</v>
      </c>
      <c r="E11" s="7" t="n">
        <v>3682.98</v>
      </c>
      <c r="F11" s="8" t="n">
        <v>-2455.37</v>
      </c>
      <c r="G11" s="9" t="n">
        <v>-0.667</v>
      </c>
      <c r="H11" s="10" t="n">
        <v>97</v>
      </c>
      <c r="I11" s="11" t="n">
        <v>0.08</v>
      </c>
      <c r="J11" s="4" t="inlineStr">
        <is>
          <t>🚨 Ruptura Logística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</row>
    <row r="12" ht="20" customHeight="1">
      <c r="A12" s="15" t="n">
        <v>8</v>
      </c>
      <c r="B12" s="16" t="inlineStr">
        <is>
          <t>10040750</t>
        </is>
      </c>
      <c r="C12" s="17" t="inlineStr">
        <is>
          <t>WEGOVY 1MG 3ML NOVO NORDISK</t>
        </is>
      </c>
      <c r="D12" s="18" t="n">
        <v>0</v>
      </c>
      <c r="E12" s="18" t="n">
        <v>2154.6</v>
      </c>
      <c r="F12" s="19" t="n">
        <v>-2154.6</v>
      </c>
      <c r="G12" s="20" t="n">
        <v>-1</v>
      </c>
      <c r="H12" s="21" t="n">
        <v>3</v>
      </c>
      <c r="I12" s="22" t="n">
        <v>0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899</v>
      </c>
      <c r="E13" s="7" t="n">
        <v>3048.93</v>
      </c>
      <c r="F13" s="8" t="n">
        <v>-2149.93</v>
      </c>
      <c r="G13" s="9" t="n">
        <v>-0.705</v>
      </c>
      <c r="H13" s="10" t="n">
        <v>136</v>
      </c>
      <c r="I13" s="11" t="n">
        <v>0.12</v>
      </c>
      <c r="J13" s="4" t="inlineStr">
        <is>
          <t>🚨 Ruptura Logística</t>
        </is>
      </c>
      <c r="K13" s="7" t="n">
        <v>988.22</v>
      </c>
      <c r="L13" s="13" t="inlineStr">
        <is>
          <t>PREÇO POPULAR</t>
        </is>
      </c>
      <c r="M13" s="7" t="n">
        <v>988.22</v>
      </c>
      <c r="N13" s="26" t="n">
        <v>0</v>
      </c>
      <c r="O13" s="13" t="inlineStr">
        <is>
          <t>Preço Alinhado</t>
        </is>
      </c>
      <c r="P13" s="13" t="inlineStr">
        <is>
          <t>Detrator Moderado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2338</v>
      </c>
      <c r="E14" s="18" t="n">
        <v>3930.14</v>
      </c>
      <c r="F14" s="19" t="n">
        <v>-1592.14</v>
      </c>
      <c r="G14" s="20" t="n">
        <v>-0.405</v>
      </c>
      <c r="H14" s="21" t="n">
        <v>27</v>
      </c>
      <c r="I14" s="22" t="n">
        <v>0.02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1508.65</v>
      </c>
      <c r="F15" s="8" t="n">
        <v>-1508.65</v>
      </c>
      <c r="G15" s="9" t="n">
        <v>-1</v>
      </c>
      <c r="H15" s="10" t="n">
        <v>4</v>
      </c>
      <c r="I15" s="11" t="n">
        <v>0</v>
      </c>
      <c r="J15" s="4" t="inlineStr">
        <is>
          <t>🚨 Ruptura Logística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</row>
    <row r="16" ht="20" customHeight="1">
      <c r="A16" s="15" t="n">
        <v>12</v>
      </c>
      <c r="B16" s="16" t="inlineStr">
        <is>
          <t>10041262</t>
        </is>
      </c>
      <c r="C16" s="17" t="inlineStr">
        <is>
          <t>FR HUGGIES ROUPINHA ACOLCHOADA MAX XG 80</t>
        </is>
      </c>
      <c r="D16" s="18" t="n">
        <v>628.64</v>
      </c>
      <c r="E16" s="18" t="n">
        <v>1818.86</v>
      </c>
      <c r="F16" s="19" t="n">
        <v>-1190.22</v>
      </c>
      <c r="G16" s="20" t="n">
        <v>-0.654</v>
      </c>
      <c r="H16" s="21" t="n">
        <v>18</v>
      </c>
      <c r="I16" s="22" t="n">
        <v>0.02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</row>
    <row r="17" ht="20" customHeight="1">
      <c r="A17" s="4" t="n">
        <v>13</v>
      </c>
      <c r="B17" s="5" t="inlineStr">
        <is>
          <t>10052534</t>
        </is>
      </c>
      <c r="C17" s="6" t="inlineStr">
        <is>
          <t>FR PAMPERS CONFORTSEC BAG MAX XG 86UN</t>
        </is>
      </c>
      <c r="D17" s="7" t="n">
        <v>0</v>
      </c>
      <c r="E17" s="7" t="n">
        <v>1176.91</v>
      </c>
      <c r="F17" s="8" t="n">
        <v>-1176.91</v>
      </c>
      <c r="G17" s="9" t="n">
        <v>-1</v>
      </c>
      <c r="H17" s="10" t="n">
        <v>605</v>
      </c>
      <c r="I17" s="11" t="n">
        <v>0.53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0</v>
      </c>
      <c r="E18" s="18" t="n">
        <v>816.53</v>
      </c>
      <c r="F18" s="19" t="n">
        <v>-816.53</v>
      </c>
      <c r="G18" s="20" t="n">
        <v>-1</v>
      </c>
      <c r="H18" s="21" t="n">
        <v>9</v>
      </c>
      <c r="I18" s="22" t="n">
        <v>0.01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95.90000000000001</v>
      </c>
      <c r="E19" s="7" t="n">
        <v>842.66</v>
      </c>
      <c r="F19" s="8" t="n">
        <v>-746.76</v>
      </c>
      <c r="G19" s="9" t="n">
        <v>-0.8859999999999999</v>
      </c>
      <c r="H19" s="10" t="n">
        <v>6</v>
      </c>
      <c r="I19" s="11" t="n">
        <v>0.01</v>
      </c>
      <c r="J19" s="4" t="inlineStr">
        <is>
          <t>🚨 Ruptura Logística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</row>
    <row r="20" ht="20" customHeight="1">
      <c r="A20" s="15" t="n">
        <v>16</v>
      </c>
      <c r="B20" s="16" t="inlineStr">
        <is>
          <t>100016230</t>
        </is>
      </c>
      <c r="C20" s="17" t="inlineStr">
        <is>
          <t>NEUTROGENA GEL HID FACIAL 50G HYDRO BOOST WATER</t>
        </is>
      </c>
      <c r="D20" s="18" t="n">
        <v>0</v>
      </c>
      <c r="E20" s="18" t="n">
        <v>720.55</v>
      </c>
      <c r="F20" s="19" t="n">
        <v>-720.55</v>
      </c>
      <c r="G20" s="20" t="n">
        <v>-1</v>
      </c>
      <c r="H20" s="21" t="n">
        <v>3</v>
      </c>
      <c r="I20" s="22" t="n">
        <v>0</v>
      </c>
      <c r="J20" s="15" t="inlineStr">
        <is>
          <t>⚠️ Duplo Detrator</t>
        </is>
      </c>
      <c r="K20" s="18" t="n">
        <v>94.98999999999999</v>
      </c>
      <c r="L20" s="24" t="inlineStr">
        <is>
          <t>PANVEL</t>
        </is>
      </c>
      <c r="M20" s="18" t="n">
        <v>58.99</v>
      </c>
      <c r="N20" s="27" t="n">
        <v>0.61</v>
      </c>
      <c r="O20" s="24" t="inlineStr">
        <is>
          <t>São João Mais Cara</t>
        </is>
      </c>
      <c r="P20" s="24" t="inlineStr">
        <is>
          <t>Neutro</t>
        </is>
      </c>
    </row>
    <row r="21" ht="20" customHeight="1">
      <c r="A21" s="4" t="n">
        <v>17</v>
      </c>
      <c r="B21" s="5" t="inlineStr">
        <is>
          <t>10042966</t>
        </is>
      </c>
      <c r="C21" s="6" t="inlineStr">
        <is>
          <t>FR PAMPERS CONFORTSEC JUMBO M 148UN</t>
        </is>
      </c>
      <c r="D21" s="7" t="n">
        <v>467.13</v>
      </c>
      <c r="E21" s="7" t="n">
        <v>1115.96</v>
      </c>
      <c r="F21" s="8" t="n">
        <v>-648.83</v>
      </c>
      <c r="G21" s="9" t="n">
        <v>-0.581</v>
      </c>
      <c r="H21" s="10" t="n">
        <v>21</v>
      </c>
      <c r="I21" s="11" t="n">
        <v>0.02</v>
      </c>
      <c r="J21" s="4" t="inlineStr">
        <is>
          <t>🚨 Ruptura Logística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</row>
    <row r="22" ht="20" customHeight="1">
      <c r="A22" s="15" t="n">
        <v>18</v>
      </c>
      <c r="B22" s="16" t="inlineStr">
        <is>
          <t>10028708</t>
        </is>
      </c>
      <c r="C22" s="17" t="inlineStr">
        <is>
          <t>FR SAO JOAO BABY BAG XXG 56UN</t>
        </is>
      </c>
      <c r="D22" s="18" t="n">
        <v>73.98999999999999</v>
      </c>
      <c r="E22" s="18" t="n">
        <v>712.5599999999999</v>
      </c>
      <c r="F22" s="19" t="n">
        <v>-638.5700000000001</v>
      </c>
      <c r="G22" s="20" t="n">
        <v>-0.8959999999999999</v>
      </c>
      <c r="H22" s="21" t="n">
        <v>964</v>
      </c>
      <c r="I22" s="22" t="n">
        <v>0.84</v>
      </c>
      <c r="J22" s="15" t="inlineStr">
        <is>
          <t>🚨 Ruptura Logística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0</v>
      </c>
      <c r="E23" s="7" t="n">
        <v>616.3</v>
      </c>
      <c r="F23" s="8" t="n">
        <v>-616.3</v>
      </c>
      <c r="G23" s="9" t="n">
        <v>-1</v>
      </c>
      <c r="H23" s="10" t="n">
        <v>6</v>
      </c>
      <c r="I23" s="11" t="n">
        <v>0.01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</row>
    <row r="24" ht="20" customHeight="1">
      <c r="A24" s="15" t="n">
        <v>20</v>
      </c>
      <c r="B24" s="16" t="inlineStr">
        <is>
          <t>10052535</t>
        </is>
      </c>
      <c r="C24" s="17" t="inlineStr">
        <is>
          <t>FR PAMPERS CONFORTSEC BAG MAX G 92UN</t>
        </is>
      </c>
      <c r="D24" s="18" t="n">
        <v>0</v>
      </c>
      <c r="E24" s="18" t="n">
        <v>615.49</v>
      </c>
      <c r="F24" s="19" t="n">
        <v>-615.49</v>
      </c>
      <c r="G24" s="20" t="n">
        <v>-1</v>
      </c>
      <c r="H24" s="21" t="n">
        <v>252</v>
      </c>
      <c r="I24" s="22" t="n">
        <v>0.22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</row>
    <row r="25" ht="20" customHeight="1">
      <c r="A25" s="4" t="n">
        <v>21</v>
      </c>
      <c r="B25" s="5" t="inlineStr">
        <is>
          <t>10102163</t>
        </is>
      </c>
      <c r="C25" s="6" t="inlineStr">
        <is>
          <t>QLAIRA 26CP+2CP REV BIOLAB</t>
        </is>
      </c>
      <c r="D25" s="7" t="n">
        <v>74.22</v>
      </c>
      <c r="E25" s="7" t="n">
        <v>671.29</v>
      </c>
      <c r="F25" s="8" t="n">
        <v>-597.0700000000001</v>
      </c>
      <c r="G25" s="9" t="n">
        <v>-0.889</v>
      </c>
      <c r="H25" s="10" t="n">
        <v>700</v>
      </c>
      <c r="I25" s="11" t="n">
        <v>0.61</v>
      </c>
      <c r="J25" s="4" t="inlineStr">
        <is>
          <t>⚠️ Duplo Detrator</t>
        </is>
      </c>
      <c r="K25" s="7" t="n">
        <v>74.22</v>
      </c>
      <c r="L25" s="13" t="inlineStr">
        <is>
          <t>PREÇO POPULAR</t>
        </is>
      </c>
      <c r="M25" s="7" t="n">
        <v>55.67</v>
      </c>
      <c r="N25" s="28" t="n">
        <v>0.333</v>
      </c>
      <c r="O25" s="13" t="inlineStr">
        <is>
          <t>São João Mais Cara</t>
        </is>
      </c>
      <c r="P25" s="13" t="inlineStr">
        <is>
          <t>Neutro</t>
        </is>
      </c>
    </row>
    <row r="26" ht="20" customHeight="1">
      <c r="A26" s="15" t="n">
        <v>22</v>
      </c>
      <c r="B26" s="16" t="inlineStr">
        <is>
          <t>999697</t>
        </is>
      </c>
      <c r="C26" s="17" t="inlineStr">
        <is>
          <t>EVRA 0,6+6MG 3ADES GEDEON RICHTER</t>
        </is>
      </c>
      <c r="D26" s="18" t="n">
        <v>149.4</v>
      </c>
      <c r="E26" s="18" t="n">
        <v>717.02</v>
      </c>
      <c r="F26" s="19" t="n">
        <v>-567.62</v>
      </c>
      <c r="G26" s="20" t="n">
        <v>-0.792</v>
      </c>
      <c r="H26" s="21" t="n">
        <v>60</v>
      </c>
      <c r="I26" s="22" t="n">
        <v>0.05</v>
      </c>
      <c r="J26" s="15" t="inlineStr">
        <is>
          <t>⚠️ Duplo Detrator</t>
        </is>
      </c>
      <c r="K26" s="18" t="n">
        <v>149.4</v>
      </c>
      <c r="L26" s="24" t="inlineStr">
        <is>
          <t>PREÇO POPULAR</t>
        </is>
      </c>
      <c r="M26" s="18" t="n">
        <v>107</v>
      </c>
      <c r="N26" s="27" t="n">
        <v>0.396</v>
      </c>
      <c r="O26" s="24" t="inlineStr">
        <is>
          <t>São João Mais Cara</t>
        </is>
      </c>
      <c r="P26" s="24" t="inlineStr">
        <is>
          <t>Neutro</t>
        </is>
      </c>
    </row>
    <row r="27" ht="20" customHeight="1">
      <c r="A27" s="4" t="n">
        <v>23</v>
      </c>
      <c r="B27" s="5" t="inlineStr">
        <is>
          <t>10034724</t>
        </is>
      </c>
      <c r="C27" s="6" t="inlineStr">
        <is>
          <t>CONTRAVE 8+90MG 120CP REV LIB PROL MERCK (C1)</t>
        </is>
      </c>
      <c r="D27" s="7" t="n">
        <v>0</v>
      </c>
      <c r="E27" s="7" t="n">
        <v>564.64</v>
      </c>
      <c r="F27" s="8" t="n">
        <v>-564.64</v>
      </c>
      <c r="G27" s="9" t="n">
        <v>-1</v>
      </c>
      <c r="H27" s="10" t="n">
        <v>3</v>
      </c>
      <c r="I27" s="11" t="n">
        <v>0</v>
      </c>
      <c r="J27" s="4" t="inlineStr">
        <is>
          <t>🚨 Ruptura Logística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1557.83</v>
      </c>
      <c r="E28" s="18" t="n">
        <v>2121.53</v>
      </c>
      <c r="F28" s="19" t="n">
        <v>-563.7</v>
      </c>
      <c r="G28" s="20" t="n">
        <v>-0.266</v>
      </c>
      <c r="H28" s="21" t="n">
        <v>1220</v>
      </c>
      <c r="I28" s="22" t="n">
        <v>1.06</v>
      </c>
      <c r="J28" s="15" t="inlineStr">
        <is>
          <t>🚨 Ruptura Logística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</row>
    <row r="29" ht="20" customHeight="1">
      <c r="A29" s="4" t="n">
        <v>25</v>
      </c>
      <c r="B29" s="5" t="inlineStr">
        <is>
          <t>10028895</t>
        </is>
      </c>
      <c r="C29" s="6" t="inlineStr">
        <is>
          <t>IZIZ 2,5MG+1,5MG 84CP LIBBS</t>
        </is>
      </c>
      <c r="D29" s="7" t="n">
        <v>0</v>
      </c>
      <c r="E29" s="7" t="n">
        <v>514.0599999999999</v>
      </c>
      <c r="F29" s="8" t="n">
        <v>-514.0599999999999</v>
      </c>
      <c r="G29" s="9" t="n">
        <v>-1</v>
      </c>
      <c r="H29" s="10" t="n">
        <v>48</v>
      </c>
      <c r="I29" s="11" t="n">
        <v>0.04</v>
      </c>
      <c r="J29" s="4" t="inlineStr">
        <is>
          <t>🚨 Ruptura Logística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</row>
    <row r="30" ht="20" customHeight="1">
      <c r="A30" s="15" t="n">
        <v>26</v>
      </c>
      <c r="B30" s="16" t="inlineStr">
        <is>
          <t>10004419</t>
        </is>
      </c>
      <c r="C30" s="17" t="inlineStr">
        <is>
          <t>OZEMPIC 1MG 4AGULHAS NOVOFINE 4MM NOVO NORDISK</t>
        </is>
      </c>
      <c r="D30" s="18" t="n">
        <v>999</v>
      </c>
      <c r="E30" s="18" t="n">
        <v>1508.11</v>
      </c>
      <c r="F30" s="19" t="n">
        <v>-509.11</v>
      </c>
      <c r="G30" s="20" t="n">
        <v>-0.338</v>
      </c>
      <c r="H30" s="21" t="n">
        <v>5</v>
      </c>
      <c r="I30" s="22" t="n">
        <v>0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</row>
    <row r="31" ht="20" customHeight="1">
      <c r="A31" s="4" t="n">
        <v>27</v>
      </c>
      <c r="B31" s="5" t="inlineStr">
        <is>
          <t>10050634</t>
        </is>
      </c>
      <c r="C31" s="6" t="inlineStr">
        <is>
          <t>EXTENSIOR 1MG 3ML NOVO EUROFARMA</t>
        </is>
      </c>
      <c r="D31" s="7" t="n">
        <v>0</v>
      </c>
      <c r="E31" s="7" t="n">
        <v>504.32</v>
      </c>
      <c r="F31" s="8" t="n">
        <v>-504.32</v>
      </c>
      <c r="G31" s="9" t="n">
        <v>-1</v>
      </c>
      <c r="H31" s="10" t="n">
        <v>49</v>
      </c>
      <c r="I31" s="11" t="n">
        <v>0.04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</row>
    <row r="32" ht="20" customHeight="1">
      <c r="A32" s="15" t="n">
        <v>28</v>
      </c>
      <c r="B32" s="16" t="inlineStr">
        <is>
          <t>10050642</t>
        </is>
      </c>
      <c r="C32" s="17" t="inlineStr">
        <is>
          <t>POVIZTRA 0,5MG 1,5ML EUROFARMA</t>
        </is>
      </c>
      <c r="D32" s="18" t="n">
        <v>590</v>
      </c>
      <c r="E32" s="18" t="n">
        <v>1087.36</v>
      </c>
      <c r="F32" s="19" t="n">
        <v>-497.36</v>
      </c>
      <c r="G32" s="20" t="n">
        <v>-0.457</v>
      </c>
      <c r="H32" s="21" t="n">
        <v>45</v>
      </c>
      <c r="I32" s="22" t="n">
        <v>0.04</v>
      </c>
      <c r="J32" s="15" t="inlineStr">
        <is>
          <t>🚨 Ruptura Logística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</row>
    <row r="33" ht="20" customHeight="1">
      <c r="A33" s="4" t="n">
        <v>29</v>
      </c>
      <c r="B33" s="5" t="inlineStr">
        <is>
          <t>10052533</t>
        </is>
      </c>
      <c r="C33" s="6" t="inlineStr">
        <is>
          <t>FR PAMPERS CONFORTSEC BAG MAX XXG 82UN</t>
        </is>
      </c>
      <c r="D33" s="7" t="n">
        <v>463.6</v>
      </c>
      <c r="E33" s="7" t="n">
        <v>937.6</v>
      </c>
      <c r="F33" s="8" t="n">
        <v>-474</v>
      </c>
      <c r="G33" s="9" t="n">
        <v>-0.506</v>
      </c>
      <c r="H33" s="10" t="n">
        <v>742</v>
      </c>
      <c r="I33" s="11" t="n">
        <v>0.65</v>
      </c>
      <c r="J33" s="4" t="inlineStr">
        <is>
          <t>🚨 Ruptura Logística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</row>
    <row r="34" ht="20" customHeight="1">
      <c r="A34" s="15" t="n">
        <v>30</v>
      </c>
      <c r="B34" s="16" t="inlineStr">
        <is>
          <t>10025098</t>
        </is>
      </c>
      <c r="C34" s="17" t="inlineStr">
        <is>
          <t>AJOVY 225MG 1,5ML SER PREENC TEVA</t>
        </is>
      </c>
      <c r="D34" s="18" t="n">
        <v>0</v>
      </c>
      <c r="E34" s="18" t="n">
        <v>467.78</v>
      </c>
      <c r="F34" s="19" t="n">
        <v>-467.78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</row>
    <row r="35" ht="20" customHeight="1">
      <c r="A35" s="4" t="n">
        <v>31</v>
      </c>
      <c r="B35" s="5" t="inlineStr">
        <is>
          <t>10053171</t>
        </is>
      </c>
      <c r="C35" s="6" t="inlineStr">
        <is>
          <t>OZIVY 0,25MG+0,5MG 1CAN 1,5ML EMS</t>
        </is>
      </c>
      <c r="D35" s="7" t="n">
        <v>0</v>
      </c>
      <c r="E35" s="7" t="n">
        <v>451.12</v>
      </c>
      <c r="F35" s="8" t="n">
        <v>-451.12</v>
      </c>
      <c r="G35" s="9" t="n">
        <v>-1</v>
      </c>
      <c r="H35" s="10" t="n">
        <v>8</v>
      </c>
      <c r="I35" s="11" t="n">
        <v>0.01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</row>
    <row r="36" ht="20" customHeight="1">
      <c r="A36" s="15" t="n">
        <v>32</v>
      </c>
      <c r="B36" s="16" t="inlineStr">
        <is>
          <t>10033758</t>
        </is>
      </c>
      <c r="C36" s="17" t="inlineStr">
        <is>
          <t>FR HUGGIES MAXIMA PROT HIPER XG 56UN</t>
        </is>
      </c>
      <c r="D36" s="18" t="n">
        <v>84.90000000000001</v>
      </c>
      <c r="E36" s="18" t="n">
        <v>529.6799999999999</v>
      </c>
      <c r="F36" s="19" t="n">
        <v>-444.78</v>
      </c>
      <c r="G36" s="20" t="n">
        <v>-0.84</v>
      </c>
      <c r="H36" s="21" t="n">
        <v>286</v>
      </c>
      <c r="I36" s="22" t="n">
        <v>0.25</v>
      </c>
      <c r="J36" s="15" t="inlineStr">
        <is>
          <t>🚨 Ruptura Logística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590</v>
      </c>
      <c r="E37" s="7" t="n">
        <v>1007.38</v>
      </c>
      <c r="F37" s="8" t="n">
        <v>-417.38</v>
      </c>
      <c r="G37" s="9" t="n">
        <v>-0.414</v>
      </c>
      <c r="H37" s="10" t="n">
        <v>33</v>
      </c>
      <c r="I37" s="11" t="n">
        <v>0.03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</row>
    <row r="38" ht="20" customHeight="1">
      <c r="A38" s="15" t="n">
        <v>34</v>
      </c>
      <c r="B38" s="16" t="inlineStr">
        <is>
          <t>10030120</t>
        </is>
      </c>
      <c r="C38" s="17" t="inlineStr">
        <is>
          <t>RYBELSUS 7MG 30CP NOVO NORDISK</t>
        </is>
      </c>
      <c r="D38" s="18" t="n">
        <v>0</v>
      </c>
      <c r="E38" s="18" t="n">
        <v>413.38</v>
      </c>
      <c r="F38" s="19" t="n">
        <v>-413.38</v>
      </c>
      <c r="G38" s="20" t="n">
        <v>-1</v>
      </c>
      <c r="H38" s="21" t="n">
        <v>8</v>
      </c>
      <c r="I38" s="22" t="n">
        <v>0.01</v>
      </c>
      <c r="J38" s="15" t="inlineStr">
        <is>
          <t>🚨 Ruptura Logística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</row>
    <row r="39" ht="20" customHeight="1">
      <c r="A39" s="4" t="n">
        <v>35</v>
      </c>
      <c r="B39" s="5" t="inlineStr">
        <is>
          <t>10006600</t>
        </is>
      </c>
      <c r="C39" s="6" t="inlineStr">
        <is>
          <t>LEITE NINHO 800G 1+PREBIO 20% DESC 2ªUN</t>
        </is>
      </c>
      <c r="D39" s="7" t="n">
        <v>0</v>
      </c>
      <c r="E39" s="7" t="n">
        <v>398.34</v>
      </c>
      <c r="F39" s="8" t="n">
        <v>-398.34</v>
      </c>
      <c r="G39" s="9" t="n">
        <v>-1</v>
      </c>
      <c r="H39" s="10" t="n">
        <v>95</v>
      </c>
      <c r="I39" s="11" t="n">
        <v>0.08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</row>
    <row r="40" ht="20" customHeight="1">
      <c r="A40" s="15" t="n">
        <v>36</v>
      </c>
      <c r="B40" s="16" t="inlineStr">
        <is>
          <t>10097312</t>
        </is>
      </c>
      <c r="C40" s="17" t="inlineStr">
        <is>
          <t>NESTOGENO 2 800G NESTLE</t>
        </is>
      </c>
      <c r="D40" s="18" t="n">
        <v>135.98</v>
      </c>
      <c r="E40" s="18" t="n">
        <v>503.32</v>
      </c>
      <c r="F40" s="19" t="n">
        <v>-367.34</v>
      </c>
      <c r="G40" s="20" t="n">
        <v>-0.73</v>
      </c>
      <c r="H40" s="21" t="n">
        <v>279</v>
      </c>
      <c r="I40" s="22" t="n">
        <v>0.24</v>
      </c>
      <c r="J40" s="15" t="inlineStr">
        <is>
          <t>⚠️ Duplo Detrator</t>
        </is>
      </c>
      <c r="K40" s="18" t="n">
        <v>67.98999999999999</v>
      </c>
      <c r="L40" s="24" t="inlineStr">
        <is>
          <t>DROGARAIA</t>
        </is>
      </c>
      <c r="M40" s="18" t="n">
        <v>61.06</v>
      </c>
      <c r="N40" s="27" t="n">
        <v>0.113</v>
      </c>
      <c r="O40" s="24" t="inlineStr">
        <is>
          <t>São João Mais Cara</t>
        </is>
      </c>
      <c r="P40" s="24" t="inlineStr">
        <is>
          <t>Neutro</t>
        </is>
      </c>
    </row>
    <row r="41" ht="20" customHeight="1">
      <c r="A41" s="4" t="n">
        <v>37</v>
      </c>
      <c r="B41" s="5" t="inlineStr">
        <is>
          <t>10033757</t>
        </is>
      </c>
      <c r="C41" s="6" t="inlineStr">
        <is>
          <t>FR HUGGIES MAXIMA PROT HIPER XXG 54UN</t>
        </is>
      </c>
      <c r="D41" s="7" t="n">
        <v>169.8</v>
      </c>
      <c r="E41" s="7" t="n">
        <v>533.15</v>
      </c>
      <c r="F41" s="8" t="n">
        <v>-363.35</v>
      </c>
      <c r="G41" s="9" t="n">
        <v>-0.6820000000000001</v>
      </c>
      <c r="H41" s="10" t="n">
        <v>543</v>
      </c>
      <c r="I41" s="11" t="n">
        <v>0.47</v>
      </c>
      <c r="J41" s="4" t="inlineStr">
        <is>
          <t>⚠️ Duplo Detrator</t>
        </is>
      </c>
      <c r="K41" s="7" t="n">
        <v>84.90000000000001</v>
      </c>
      <c r="L41" s="13" t="inlineStr">
        <is>
          <t>PREÇO POPULAR</t>
        </is>
      </c>
      <c r="M41" s="7" t="n">
        <v>72.90000000000001</v>
      </c>
      <c r="N41" s="28" t="n">
        <v>0.165</v>
      </c>
      <c r="O41" s="13" t="inlineStr">
        <is>
          <t>São João Mais Cara</t>
        </is>
      </c>
      <c r="P41" s="13" t="inlineStr">
        <is>
          <t>Neutro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550.5599999999999</v>
      </c>
      <c r="E42" s="18" t="n">
        <v>907.35</v>
      </c>
      <c r="F42" s="19" t="n">
        <v>-356.79</v>
      </c>
      <c r="G42" s="20" t="n">
        <v>-0.393</v>
      </c>
      <c r="H42" s="21" t="n">
        <v>461</v>
      </c>
      <c r="I42" s="22" t="n">
        <v>0.4</v>
      </c>
      <c r="J42" s="15" t="inlineStr">
        <is>
          <t>🚨 Ruptura Logística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203.97</v>
      </c>
      <c r="E43" s="7" t="n">
        <v>557.35</v>
      </c>
      <c r="F43" s="8" t="n">
        <v>-353.38</v>
      </c>
      <c r="G43" s="9" t="n">
        <v>-0.634</v>
      </c>
      <c r="H43" s="10" t="n">
        <v>266</v>
      </c>
      <c r="I43" s="11" t="n">
        <v>0.23</v>
      </c>
      <c r="J43" s="4" t="inlineStr">
        <is>
          <t>⚠️ Duplo Detrator</t>
        </is>
      </c>
      <c r="K43" s="7" t="n">
        <v>67.98999999999999</v>
      </c>
      <c r="L43" s="13" t="inlineStr">
        <is>
          <t>PREÇO POPULAR</t>
        </is>
      </c>
      <c r="M43" s="7" t="n">
        <v>62.9</v>
      </c>
      <c r="N43" s="28" t="n">
        <v>0.081</v>
      </c>
      <c r="O43" s="13" t="inlineStr">
        <is>
          <t>São João Mais Cara</t>
        </is>
      </c>
      <c r="P43" s="13" t="inlineStr">
        <is>
          <t>Neutro</t>
        </is>
      </c>
    </row>
    <row r="44" ht="20" customHeight="1">
      <c r="A44" s="15" t="n">
        <v>40</v>
      </c>
      <c r="B44" s="16" t="inlineStr">
        <is>
          <t>10049738</t>
        </is>
      </c>
      <c r="C44" s="17" t="inlineStr">
        <is>
          <t>OLIRE 6MG/ML 3ML 3APLIC INJ EMS</t>
        </is>
      </c>
      <c r="D44" s="18" t="n">
        <v>0</v>
      </c>
      <c r="E44" s="18" t="n">
        <v>350.3</v>
      </c>
      <c r="F44" s="19" t="n">
        <v>-350.3</v>
      </c>
      <c r="G44" s="20" t="n">
        <v>-1</v>
      </c>
      <c r="H44" s="21" t="n">
        <v>8</v>
      </c>
      <c r="I44" s="22" t="n">
        <v>0.01</v>
      </c>
      <c r="J44" s="15" t="inlineStr">
        <is>
          <t>🚨 Ruptura Logística</t>
        </is>
      </c>
      <c r="K44" s="18" t="n">
        <v>866.24</v>
      </c>
      <c r="L44" s="24" t="inlineStr">
        <is>
          <t>PANVEL</t>
        </is>
      </c>
      <c r="M44" s="18" t="n">
        <v>866.24</v>
      </c>
      <c r="N44" s="29" t="n">
        <v>0</v>
      </c>
      <c r="O44" s="24" t="inlineStr">
        <is>
          <t>Preço Alinhado</t>
        </is>
      </c>
      <c r="P44" s="24" t="inlineStr">
        <is>
          <t>Neutro</t>
        </is>
      </c>
    </row>
    <row r="45" ht="20" customHeight="1">
      <c r="A45" s="4" t="n">
        <v>41</v>
      </c>
      <c r="B45" s="5" t="inlineStr">
        <is>
          <t>100011549</t>
        </is>
      </c>
      <c r="C45" s="6" t="inlineStr">
        <is>
          <t>NAN SUPREME 2 800G NESTLE</t>
        </is>
      </c>
      <c r="D45" s="7" t="n">
        <v>132.49</v>
      </c>
      <c r="E45" s="7" t="n">
        <v>482.35</v>
      </c>
      <c r="F45" s="8" t="n">
        <v>-349.86</v>
      </c>
      <c r="G45" s="9" t="n">
        <v>-0.725</v>
      </c>
      <c r="H45" s="10" t="n">
        <v>88</v>
      </c>
      <c r="I45" s="11" t="n">
        <v>0.08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</row>
    <row r="46" ht="20" customHeight="1">
      <c r="A46" s="15" t="n">
        <v>42</v>
      </c>
      <c r="B46" s="16" t="inlineStr">
        <is>
          <t>100020215</t>
        </is>
      </c>
      <c r="C46" s="17" t="inlineStr">
        <is>
          <t>DES DOVE AERO 150ML REGULAR ORIGINAL</t>
        </is>
      </c>
      <c r="D46" s="18" t="n">
        <v>0</v>
      </c>
      <c r="E46" s="18" t="n">
        <v>327.46</v>
      </c>
      <c r="F46" s="19" t="n">
        <v>-327.46</v>
      </c>
      <c r="G46" s="20" t="n">
        <v>-1</v>
      </c>
      <c r="H46" s="21" t="n">
        <v>420</v>
      </c>
      <c r="I46" s="22" t="n">
        <v>0.37</v>
      </c>
      <c r="J46" s="15" t="inlineStr">
        <is>
          <t>⚠️ Duplo Detrator</t>
        </is>
      </c>
      <c r="K46" s="18" t="n">
        <v>25.9</v>
      </c>
      <c r="L46" s="24" t="inlineStr">
        <is>
          <t>NISSEI</t>
        </is>
      </c>
      <c r="M46" s="18" t="n">
        <v>15.9</v>
      </c>
      <c r="N46" s="27" t="n">
        <v>0.629</v>
      </c>
      <c r="O46" s="24" t="inlineStr">
        <is>
          <t>São João Mais Cara</t>
        </is>
      </c>
      <c r="P46" s="24" t="inlineStr">
        <is>
          <t>Neutro</t>
        </is>
      </c>
    </row>
    <row r="47" ht="20" customHeight="1">
      <c r="A47" s="4" t="n">
        <v>43</v>
      </c>
      <c r="B47" s="5" t="inlineStr">
        <is>
          <t>10052539</t>
        </is>
      </c>
      <c r="C47" s="6" t="inlineStr">
        <is>
          <t>FR PAMPERS PANTS AJUSTE TOTAL MAX XG 82U</t>
        </is>
      </c>
      <c r="D47" s="7" t="n">
        <v>377.7</v>
      </c>
      <c r="E47" s="7" t="n">
        <v>701.91</v>
      </c>
      <c r="F47" s="8" t="n">
        <v>-324.21</v>
      </c>
      <c r="G47" s="9" t="n">
        <v>-0.462</v>
      </c>
      <c r="H47" s="10" t="n">
        <v>40</v>
      </c>
      <c r="I47" s="11" t="n">
        <v>0.03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</row>
    <row r="48" ht="20" customHeight="1">
      <c r="A48" s="15" t="n">
        <v>44</v>
      </c>
      <c r="B48" s="16" t="inlineStr">
        <is>
          <t>10049094</t>
        </is>
      </c>
      <c r="C48" s="17" t="inlineStr">
        <is>
          <t>NUSTENDI 180MG/10MG 30CP DAIICHI</t>
        </is>
      </c>
      <c r="D48" s="18" t="n">
        <v>203.67</v>
      </c>
      <c r="E48" s="18" t="n">
        <v>514.46</v>
      </c>
      <c r="F48" s="19" t="n">
        <v>-310.79</v>
      </c>
      <c r="G48" s="20" t="n">
        <v>-0.604</v>
      </c>
      <c r="H48" s="21" t="n">
        <v>123</v>
      </c>
      <c r="I48" s="22" t="n">
        <v>0.11</v>
      </c>
      <c r="J48" s="15" t="inlineStr">
        <is>
          <t>🚨 Ruptura Logística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</row>
    <row r="49" ht="20" customHeight="1">
      <c r="A49" s="4" t="n">
        <v>45</v>
      </c>
      <c r="B49" s="5" t="inlineStr">
        <is>
          <t>10029021</t>
        </is>
      </c>
      <c r="C49" s="6" t="inlineStr">
        <is>
          <t>PANT SEC 50MG/ML SOL CAPI 3FR 50ML+1VALVSPR ACHE</t>
        </is>
      </c>
      <c r="D49" s="7" t="n">
        <v>0</v>
      </c>
      <c r="E49" s="7" t="n">
        <v>307.22</v>
      </c>
      <c r="F49" s="8" t="n">
        <v>-307.22</v>
      </c>
      <c r="G49" s="9" t="n">
        <v>-1</v>
      </c>
      <c r="H49" s="10" t="n">
        <v>3</v>
      </c>
      <c r="I49" s="11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</row>
    <row r="50" ht="20" customHeight="1">
      <c r="A50" s="15" t="n">
        <v>46</v>
      </c>
      <c r="B50" s="16" t="inlineStr">
        <is>
          <t>10105170</t>
        </is>
      </c>
      <c r="C50" s="17" t="inlineStr">
        <is>
          <t>TOALHAS UMED NATURAL BABY LV100 PG80</t>
        </is>
      </c>
      <c r="D50" s="18" t="n">
        <v>282.29</v>
      </c>
      <c r="E50" s="18" t="n">
        <v>585.71</v>
      </c>
      <c r="F50" s="19" t="n">
        <v>-303.42</v>
      </c>
      <c r="G50" s="20" t="n">
        <v>-0.518</v>
      </c>
      <c r="H50" s="21" t="n">
        <v>8221</v>
      </c>
      <c r="I50" s="30" t="n">
        <v>7.17</v>
      </c>
      <c r="J50" s="15" t="inlineStr">
        <is>
          <t>🏷️ Preço Desalinhado</t>
        </is>
      </c>
      <c r="K50" s="18" t="n">
        <v>14.99</v>
      </c>
      <c r="L50" s="24" t="inlineStr">
        <is>
          <t>PREÇO POPULAR</t>
        </is>
      </c>
      <c r="M50" s="18" t="n">
        <v>10.9</v>
      </c>
      <c r="N50" s="27" t="n">
        <v>0.375</v>
      </c>
      <c r="O50" s="24" t="inlineStr">
        <is>
          <t>São João Mais Cara</t>
        </is>
      </c>
      <c r="P50" s="24" t="inlineStr">
        <is>
          <t>Neutro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294.82</v>
      </c>
      <c r="F51" s="8" t="n">
        <v>-294.82</v>
      </c>
      <c r="G51" s="9" t="n">
        <v>-1</v>
      </c>
      <c r="H51" s="10" t="n">
        <v>9</v>
      </c>
      <c r="I51" s="11" t="n">
        <v>0.01</v>
      </c>
      <c r="J51" s="4" t="inlineStr">
        <is>
          <t>🚨 Ruptura Logística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</row>
    <row r="52" ht="20" customHeight="1">
      <c r="A52" s="15" t="n">
        <v>48</v>
      </c>
      <c r="B52" s="16" t="inlineStr">
        <is>
          <t>10028706</t>
        </is>
      </c>
      <c r="C52" s="17" t="inlineStr">
        <is>
          <t>FR SAO JOAO BABY BAG XG 58UN</t>
        </is>
      </c>
      <c r="D52" s="18" t="n">
        <v>73.98999999999999</v>
      </c>
      <c r="E52" s="18" t="n">
        <v>358.09</v>
      </c>
      <c r="F52" s="19" t="n">
        <v>-284.1</v>
      </c>
      <c r="G52" s="20" t="n">
        <v>-0.7929999999999999</v>
      </c>
      <c r="H52" s="21" t="n">
        <v>501</v>
      </c>
      <c r="I52" s="22" t="n">
        <v>0.44</v>
      </c>
      <c r="J52" s="15" t="inlineStr">
        <is>
          <t>🚨 Ruptura Logística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</row>
    <row r="53" ht="20" customHeight="1">
      <c r="A53" s="4" t="n">
        <v>49</v>
      </c>
      <c r="B53" s="5" t="inlineStr">
        <is>
          <t>10041858</t>
        </is>
      </c>
      <c r="C53" s="6" t="inlineStr">
        <is>
          <t>FR PAMPERS PANTS PREMIUM CARE XXXG 80UN</t>
        </is>
      </c>
      <c r="D53" s="7" t="n">
        <v>0</v>
      </c>
      <c r="E53" s="7" t="n">
        <v>282.01</v>
      </c>
      <c r="F53" s="8" t="n">
        <v>-282.01</v>
      </c>
      <c r="G53" s="9" t="n">
        <v>-1</v>
      </c>
      <c r="H53" s="10" t="n">
        <v>0</v>
      </c>
      <c r="I53" s="11" t="n">
        <v>0</v>
      </c>
      <c r="J53" s="4" t="inlineStr">
        <is>
          <t>🚨 Ruptura Logística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</row>
    <row r="54" ht="20" customHeight="1">
      <c r="A54" s="15" t="n">
        <v>50</v>
      </c>
      <c r="B54" s="16" t="inlineStr">
        <is>
          <t>10046473</t>
        </is>
      </c>
      <c r="C54" s="17" t="inlineStr">
        <is>
          <t>ROUPA INT SAO JOAO ADULTO PANTS G/XG 32UN</t>
        </is>
      </c>
      <c r="D54" s="18" t="n">
        <v>0</v>
      </c>
      <c r="E54" s="18" t="n">
        <v>281.85</v>
      </c>
      <c r="F54" s="19" t="n">
        <v>-281.85</v>
      </c>
      <c r="G54" s="20" t="n">
        <v>-1</v>
      </c>
      <c r="H54" s="21" t="n">
        <v>290</v>
      </c>
      <c r="I54" s="22" t="n">
        <v>0.25</v>
      </c>
      <c r="J54" s="15" t="inlineStr">
        <is>
          <t>🚨 Ruptura Logística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</row>
    <row r="55" ht="24" customHeight="1">
      <c r="A55" s="31" t="inlineStr">
        <is>
          <t>TOTAL TOP 50</t>
        </is>
      </c>
      <c r="B55" s="32" t="n"/>
      <c r="C55" s="32" t="n"/>
      <c r="D55" s="33">
        <f>SUM(D5:D54)</f>
        <v/>
      </c>
      <c r="E55" s="33">
        <f>SUM(E5:E54)</f>
        <v/>
      </c>
      <c r="F55" s="34">
        <f>SUM(F5:F54)</f>
        <v/>
      </c>
      <c r="G55" s="35">
        <f>(D55-E55)/E55</f>
        <v/>
      </c>
      <c r="H55" s="36">
        <f>SUM(H5:H54)</f>
        <v/>
      </c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2026-09-08T14:22:51Z</dcterms:created>
  <dcterms:modified xmlns:dcterms="http://purl.org/dc/terms/" xmlns:xsi="http://www.w3.org/2001/XMLSchema-instance" xsi:type="dcterms:W3CDTF">2026-09-08T14:22:51Z</dcterms:modified>
</cp:coreProperties>
</file>