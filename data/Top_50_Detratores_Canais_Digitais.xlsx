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(12:00)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33015.16</v>
      </c>
      <c r="F5" s="8" t="n">
        <v>-33015.16</v>
      </c>
      <c r="G5" s="9" t="n">
        <v>-1</v>
      </c>
      <c r="H5" s="10" t="n">
        <v>62356</v>
      </c>
      <c r="I5" s="11" t="n">
        <v>49.53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Detrator Crítico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20823.24</v>
      </c>
      <c r="F6" s="19" t="n">
        <v>-20823.24</v>
      </c>
      <c r="G6" s="20" t="n">
        <v>-1</v>
      </c>
      <c r="H6" s="21" t="n">
        <v>48370</v>
      </c>
      <c r="I6" s="22" t="n">
        <v>38.42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Detrator Crítico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10046654</t>
        </is>
      </c>
      <c r="C7" s="6" t="inlineStr">
        <is>
          <t>MOUNJARO 7,5MG 4CAN APLIC LILLY</t>
        </is>
      </c>
      <c r="D7" s="7" t="n">
        <v>0</v>
      </c>
      <c r="E7" s="7" t="n">
        <v>11710.17</v>
      </c>
      <c r="F7" s="8" t="n">
        <v>-11710.17</v>
      </c>
      <c r="G7" s="9" t="n">
        <v>-1</v>
      </c>
      <c r="H7" s="10" t="n">
        <v>9677</v>
      </c>
      <c r="I7" s="11" t="n">
        <v>7.69</v>
      </c>
      <c r="J7" s="4" t="inlineStr">
        <is>
          <t>📉 Demanda Normal</t>
        </is>
      </c>
      <c r="K7" s="7" t="n">
        <v>2766.26</v>
      </c>
      <c r="L7" s="12" t="inlineStr">
        <is>
          <t>PREÇO POPULAR</t>
        </is>
      </c>
      <c r="M7" s="7" t="n">
        <v>2766.26</v>
      </c>
      <c r="N7" s="13" t="n">
        <v>0</v>
      </c>
      <c r="O7" s="12" t="inlineStr">
        <is>
          <t>Preço Alinhado</t>
        </is>
      </c>
      <c r="P7" s="12" t="inlineStr">
        <is>
          <t>Detrator Crítico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10042969</t>
        </is>
      </c>
      <c r="C8" s="17" t="inlineStr">
        <is>
          <t>FR PAMPERS CONFORTSEC JUMBO XXG 112UN</t>
        </is>
      </c>
      <c r="D8" s="18" t="n">
        <v>0</v>
      </c>
      <c r="E8" s="18" t="n">
        <v>10240.22</v>
      </c>
      <c r="F8" s="19" t="n">
        <v>-10240.22</v>
      </c>
      <c r="G8" s="20" t="n">
        <v>-1</v>
      </c>
      <c r="H8" s="21" t="n">
        <v>128837</v>
      </c>
      <c r="I8" s="22" t="n">
        <v>102.33</v>
      </c>
      <c r="J8" s="15" t="inlineStr">
        <is>
          <t>📉 Demanda Normal</t>
        </is>
      </c>
      <c r="K8" s="26" t="inlineStr"/>
      <c r="L8" s="23" t="inlineStr"/>
      <c r="M8" s="26" t="inlineStr"/>
      <c r="N8" s="27" t="inlineStr"/>
      <c r="O8" s="23" t="inlineStr">
        <is>
          <t>Não Monitorado</t>
        </is>
      </c>
      <c r="P8" s="23" t="inlineStr">
        <is>
          <t>Detrator Crítico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10001144</t>
        </is>
      </c>
      <c r="C9" s="6" t="inlineStr">
        <is>
          <t>FR PAMPERS CONFORTSEC BAG SUPER XG 58UN</t>
        </is>
      </c>
      <c r="D9" s="7" t="n">
        <v>0</v>
      </c>
      <c r="E9" s="7" t="n">
        <v>7820.43</v>
      </c>
      <c r="F9" s="8" t="n">
        <v>-7820.43</v>
      </c>
      <c r="G9" s="9" t="n">
        <v>-1</v>
      </c>
      <c r="H9" s="10" t="n">
        <v>398194</v>
      </c>
      <c r="I9" s="11" t="n">
        <v>316.28</v>
      </c>
      <c r="J9" s="4" t="inlineStr">
        <is>
          <t>📉 Demanda Normal</t>
        </is>
      </c>
      <c r="K9" s="28" t="inlineStr"/>
      <c r="L9" s="12" t="inlineStr"/>
      <c r="M9" s="28" t="inlineStr"/>
      <c r="N9" s="29" t="inlineStr"/>
      <c r="O9" s="12" t="inlineStr">
        <is>
          <t>Não Monitorado</t>
        </is>
      </c>
      <c r="P9" s="12" t="inlineStr">
        <is>
          <t>Detrator Crítico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10001064</t>
        </is>
      </c>
      <c r="C10" s="17" t="inlineStr">
        <is>
          <t>FR PAMPERS CONFORTSEC BAG SUPER XXG 56UN</t>
        </is>
      </c>
      <c r="D10" s="18" t="n">
        <v>0</v>
      </c>
      <c r="E10" s="18" t="n">
        <v>6963.08</v>
      </c>
      <c r="F10" s="19" t="n">
        <v>-6963.08</v>
      </c>
      <c r="G10" s="20" t="n">
        <v>-1</v>
      </c>
      <c r="H10" s="21" t="n">
        <v>699822</v>
      </c>
      <c r="I10" s="22" t="n">
        <v>555.86</v>
      </c>
      <c r="J10" s="15" t="inlineStr">
        <is>
          <t>📉 Demanda Normal</t>
        </is>
      </c>
      <c r="K10" s="18" t="n">
        <v>77.90000000000001</v>
      </c>
      <c r="L10" s="23" t="inlineStr">
        <is>
          <t>PREÇO POPULAR</t>
        </is>
      </c>
      <c r="M10" s="18" t="n">
        <v>89.90000000000001</v>
      </c>
      <c r="N10" s="24" t="n">
        <v>-0.133</v>
      </c>
      <c r="O10" s="23" t="inlineStr">
        <is>
          <t>Líder de Preço</t>
        </is>
      </c>
      <c r="P10" s="23" t="inlineStr">
        <is>
          <t>Detrator Crítico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10046655</t>
        </is>
      </c>
      <c r="C11" s="6" t="inlineStr">
        <is>
          <t>MOUNJARO 10MG 4CAN APLIC LILLY</t>
        </is>
      </c>
      <c r="D11" s="7" t="n">
        <v>0</v>
      </c>
      <c r="E11" s="7" t="n">
        <v>6309.34</v>
      </c>
      <c r="F11" s="8" t="n">
        <v>-6309.34</v>
      </c>
      <c r="G11" s="9" t="n">
        <v>-1</v>
      </c>
      <c r="H11" s="10" t="n">
        <v>5717</v>
      </c>
      <c r="I11" s="11" t="n">
        <v>4.54</v>
      </c>
      <c r="J11" s="4" t="inlineStr">
        <is>
          <t>📉 Demanda Normal</t>
        </is>
      </c>
      <c r="K11" s="7" t="n">
        <v>3210.85</v>
      </c>
      <c r="L11" s="12" t="inlineStr">
        <is>
          <t>PANVEL</t>
        </is>
      </c>
      <c r="M11" s="7" t="n">
        <v>3210.85</v>
      </c>
      <c r="N11" s="13" t="n">
        <v>0</v>
      </c>
      <c r="O11" s="12" t="inlineStr">
        <is>
          <t>Preço Alinhado</t>
        </is>
      </c>
      <c r="P11" s="12" t="inlineStr">
        <is>
          <t>Detrator Crítico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10001143</t>
        </is>
      </c>
      <c r="C12" s="17" t="inlineStr">
        <is>
          <t>FR PAMPERS CONFORTSEC BAG SUPER G 60UN</t>
        </is>
      </c>
      <c r="D12" s="18" t="n">
        <v>0</v>
      </c>
      <c r="E12" s="18" t="n">
        <v>6114.97</v>
      </c>
      <c r="F12" s="19" t="n">
        <v>-6114.97</v>
      </c>
      <c r="G12" s="20" t="n">
        <v>-1</v>
      </c>
      <c r="H12" s="21" t="n">
        <v>605701</v>
      </c>
      <c r="I12" s="22" t="n">
        <v>481.1</v>
      </c>
      <c r="J12" s="15" t="inlineStr">
        <is>
          <t>📉 Demanda Normal</t>
        </is>
      </c>
      <c r="K12" s="26" t="inlineStr"/>
      <c r="L12" s="23" t="inlineStr"/>
      <c r="M12" s="26" t="inlineStr"/>
      <c r="N12" s="27" t="inlineStr"/>
      <c r="O12" s="23" t="inlineStr">
        <is>
          <t>Não Monitorado</t>
        </is>
      </c>
      <c r="P12" s="23" t="inlineStr">
        <is>
          <t>Detrator Crítico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100015081</t>
        </is>
      </c>
      <c r="C13" s="6" t="inlineStr">
        <is>
          <t>LEITE NINHO 800G 1+PREBIO LATA</t>
        </is>
      </c>
      <c r="D13" s="7" t="n">
        <v>0</v>
      </c>
      <c r="E13" s="7" t="n">
        <v>5948.65</v>
      </c>
      <c r="F13" s="8" t="n">
        <v>-5948.65</v>
      </c>
      <c r="G13" s="9" t="n">
        <v>-1</v>
      </c>
      <c r="H13" s="10" t="n">
        <v>2151795</v>
      </c>
      <c r="I13" s="11" t="n">
        <v>1709.13</v>
      </c>
      <c r="J13" s="4" t="inlineStr">
        <is>
          <t>🏷️ Preço Desalinhado</t>
        </is>
      </c>
      <c r="K13" s="7" t="n">
        <v>58.49</v>
      </c>
      <c r="L13" s="12" t="inlineStr">
        <is>
          <t>PREÇO POPULAR</t>
        </is>
      </c>
      <c r="M13" s="7" t="n">
        <v>47.99</v>
      </c>
      <c r="N13" s="30" t="n">
        <v>0.219</v>
      </c>
      <c r="O13" s="12" t="inlineStr">
        <is>
          <t>São João Mais Cara</t>
        </is>
      </c>
      <c r="P13" s="12" t="inlineStr">
        <is>
          <t>Detrator Crítico</t>
        </is>
      </c>
      <c r="Q13" s="6" t="inlineStr">
        <is>
          <t>Reprecificar no Digital (Precopopular R$ 47.99)</t>
        </is>
      </c>
    </row>
    <row r="14" ht="20" customHeight="1">
      <c r="A14" s="15" t="n">
        <v>10</v>
      </c>
      <c r="B14" s="16" t="inlineStr">
        <is>
          <t>10041257</t>
        </is>
      </c>
      <c r="C14" s="17" t="inlineStr">
        <is>
          <t>FR HUGGIES MAXIMA PROT MAX XXG 80UN</t>
        </is>
      </c>
      <c r="D14" s="18" t="n">
        <v>0</v>
      </c>
      <c r="E14" s="18" t="n">
        <v>4493.48</v>
      </c>
      <c r="F14" s="19" t="n">
        <v>-4493.48</v>
      </c>
      <c r="G14" s="20" t="n">
        <v>-1</v>
      </c>
      <c r="H14" s="21" t="n">
        <v>176027</v>
      </c>
      <c r="I14" s="22" t="n">
        <v>139.81</v>
      </c>
      <c r="J14" s="15" t="inlineStr">
        <is>
          <t>📉 Demanda Normal</t>
        </is>
      </c>
      <c r="K14" s="26" t="inlineStr"/>
      <c r="L14" s="23" t="inlineStr"/>
      <c r="M14" s="26" t="inlineStr"/>
      <c r="N14" s="27" t="inlineStr"/>
      <c r="O14" s="23" t="inlineStr">
        <is>
          <t>Não Monitorado</t>
        </is>
      </c>
      <c r="P14" s="23" t="inlineStr">
        <is>
          <t>Detrator Moderado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10053130</t>
        </is>
      </c>
      <c r="C15" s="6" t="inlineStr">
        <is>
          <t>OZIVY 1MG 1CAN 3ML EMS</t>
        </is>
      </c>
      <c r="D15" s="7" t="n">
        <v>0</v>
      </c>
      <c r="E15" s="7" t="n">
        <v>4486.18</v>
      </c>
      <c r="F15" s="8" t="n">
        <v>-4486.18</v>
      </c>
      <c r="G15" s="9" t="n">
        <v>-1</v>
      </c>
      <c r="H15" s="10" t="n">
        <v>110832</v>
      </c>
      <c r="I15" s="11" t="n">
        <v>88.03</v>
      </c>
      <c r="J15" s="4" t="inlineStr">
        <is>
          <t>📉 Demanda Normal</t>
        </is>
      </c>
      <c r="K15" s="28" t="inlineStr"/>
      <c r="L15" s="12" t="inlineStr"/>
      <c r="M15" s="28" t="inlineStr"/>
      <c r="N15" s="29" t="inlineStr"/>
      <c r="O15" s="12" t="inlineStr">
        <is>
          <t>Não Monitorado</t>
        </is>
      </c>
      <c r="P15" s="12" t="inlineStr">
        <is>
          <t>Detrator Moderado</t>
        </is>
      </c>
      <c r="Q15" s="14" t="inlineStr">
        <is>
          <t>Push CRM / Recompra 30d no App</t>
        </is>
      </c>
    </row>
    <row r="16" ht="20" customHeight="1">
      <c r="A16" s="15" t="n">
        <v>12</v>
      </c>
      <c r="B16" s="16" t="inlineStr">
        <is>
          <t>100001402</t>
        </is>
      </c>
      <c r="C16" s="17" t="inlineStr">
        <is>
          <t>SERVICO DOMICILIO</t>
        </is>
      </c>
      <c r="D16" s="18" t="n">
        <v>0</v>
      </c>
      <c r="E16" s="18" t="n">
        <v>4389.81</v>
      </c>
      <c r="F16" s="19" t="n">
        <v>-4389.81</v>
      </c>
      <c r="G16" s="20" t="n">
        <v>-1</v>
      </c>
      <c r="H16" s="21" t="n">
        <v>0</v>
      </c>
      <c r="I16" s="31" t="n">
        <v>0</v>
      </c>
      <c r="J16" s="15" t="inlineStr">
        <is>
          <t>🚨 Ruptura Logística</t>
        </is>
      </c>
      <c r="K16" s="26" t="inlineStr"/>
      <c r="L16" s="23" t="inlineStr"/>
      <c r="M16" s="26" t="inlineStr"/>
      <c r="N16" s="27" t="inlineStr"/>
      <c r="O16" s="23" t="inlineStr">
        <is>
          <t>Não Monitorado</t>
        </is>
      </c>
      <c r="P16" s="23" t="inlineStr">
        <is>
          <t>Detrator Moderado</t>
        </is>
      </c>
      <c r="Q16" s="25" t="inlineStr">
        <is>
          <t>Abastecimento Emergencial Lojas/CD</t>
        </is>
      </c>
    </row>
    <row r="17" ht="20" customHeight="1">
      <c r="A17" s="4" t="n">
        <v>13</v>
      </c>
      <c r="B17" s="5" t="inlineStr">
        <is>
          <t>10042968</t>
        </is>
      </c>
      <c r="C17" s="6" t="inlineStr">
        <is>
          <t>FR PAMPERS CONFORTSEC JUMBO XG 116UN</t>
        </is>
      </c>
      <c r="D17" s="7" t="n">
        <v>0</v>
      </c>
      <c r="E17" s="7" t="n">
        <v>4309.18</v>
      </c>
      <c r="F17" s="8" t="n">
        <v>-4309.18</v>
      </c>
      <c r="G17" s="9" t="n">
        <v>-1</v>
      </c>
      <c r="H17" s="10" t="n">
        <v>64302</v>
      </c>
      <c r="I17" s="11" t="n">
        <v>51.07</v>
      </c>
      <c r="J17" s="4" t="inlineStr">
        <is>
          <t>🏷️ Preço Desalinhado</t>
        </is>
      </c>
      <c r="K17" s="7" t="n">
        <v>159.9</v>
      </c>
      <c r="L17" s="12" t="inlineStr">
        <is>
          <t>PANVEL</t>
        </is>
      </c>
      <c r="M17" s="7" t="n">
        <v>149.9</v>
      </c>
      <c r="N17" s="30" t="n">
        <v>0.067</v>
      </c>
      <c r="O17" s="12" t="inlineStr">
        <is>
          <t>São João Mais Cara</t>
        </is>
      </c>
      <c r="P17" s="12" t="inlineStr">
        <is>
          <t>Detrator Moderado</t>
        </is>
      </c>
      <c r="Q17" s="6" t="inlineStr">
        <is>
          <t>Reprecificar no Digital (Panvel R$ 149.90)</t>
        </is>
      </c>
    </row>
    <row r="18" ht="20" customHeight="1">
      <c r="A18" s="15" t="n">
        <v>14</v>
      </c>
      <c r="B18" s="16" t="inlineStr">
        <is>
          <t>10046657</t>
        </is>
      </c>
      <c r="C18" s="17" t="inlineStr">
        <is>
          <t>MOUNJARO 15MG 4CAN APLIC LILLY</t>
        </is>
      </c>
      <c r="D18" s="18" t="n">
        <v>0</v>
      </c>
      <c r="E18" s="18" t="n">
        <v>4204.71</v>
      </c>
      <c r="F18" s="19" t="n">
        <v>-4204.71</v>
      </c>
      <c r="G18" s="20" t="n">
        <v>-1</v>
      </c>
      <c r="H18" s="21" t="n">
        <v>1136</v>
      </c>
      <c r="I18" s="31" t="n">
        <v>0.9</v>
      </c>
      <c r="J18" s="15" t="inlineStr">
        <is>
          <t>🚨 Ruptura Logística</t>
        </is>
      </c>
      <c r="K18" s="26" t="inlineStr"/>
      <c r="L18" s="23" t="inlineStr"/>
      <c r="M18" s="26" t="inlineStr"/>
      <c r="N18" s="27" t="inlineStr"/>
      <c r="O18" s="23" t="inlineStr">
        <is>
          <t>Não Monitorado</t>
        </is>
      </c>
      <c r="P18" s="23" t="inlineStr">
        <is>
          <t>Detrator Moderado</t>
        </is>
      </c>
      <c r="Q18" s="25" t="inlineStr">
        <is>
          <t>Abastecimento Emergencial Lojas/CD</t>
        </is>
      </c>
    </row>
    <row r="19" ht="20" customHeight="1">
      <c r="A19" s="4" t="n">
        <v>15</v>
      </c>
      <c r="B19" s="5" t="inlineStr">
        <is>
          <t>10042967</t>
        </is>
      </c>
      <c r="C19" s="6" t="inlineStr">
        <is>
          <t>FR PAMPERS CONFORTSEC JUMBO G 128UN</t>
        </is>
      </c>
      <c r="D19" s="7" t="n">
        <v>0</v>
      </c>
      <c r="E19" s="7" t="n">
        <v>4080.92</v>
      </c>
      <c r="F19" s="8" t="n">
        <v>-4080.92</v>
      </c>
      <c r="G19" s="9" t="n">
        <v>-1</v>
      </c>
      <c r="H19" s="10" t="n">
        <v>86933</v>
      </c>
      <c r="I19" s="11" t="n">
        <v>69.05</v>
      </c>
      <c r="J19" s="4" t="inlineStr">
        <is>
          <t>📉 Demanda Normal</t>
        </is>
      </c>
      <c r="K19" s="28" t="inlineStr"/>
      <c r="L19" s="12" t="inlineStr"/>
      <c r="M19" s="28" t="inlineStr"/>
      <c r="N19" s="29" t="inlineStr"/>
      <c r="O19" s="12" t="inlineStr">
        <is>
          <t>Não Monitorado</t>
        </is>
      </c>
      <c r="P19" s="12" t="inlineStr">
        <is>
          <t>Detrator Moderado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10041258</t>
        </is>
      </c>
      <c r="C20" s="17" t="inlineStr">
        <is>
          <t>FR HUGGIES MAXIMA PROT MAX XG 82UN</t>
        </is>
      </c>
      <c r="D20" s="18" t="n">
        <v>0</v>
      </c>
      <c r="E20" s="18" t="n">
        <v>3830.09</v>
      </c>
      <c r="F20" s="19" t="n">
        <v>-3830.09</v>
      </c>
      <c r="G20" s="20" t="n">
        <v>-1</v>
      </c>
      <c r="H20" s="21" t="n">
        <v>195836</v>
      </c>
      <c r="I20" s="22" t="n">
        <v>155.55</v>
      </c>
      <c r="J20" s="15" t="inlineStr">
        <is>
          <t>📉 Demanda Normal</t>
        </is>
      </c>
      <c r="K20" s="26" t="inlineStr"/>
      <c r="L20" s="23" t="inlineStr"/>
      <c r="M20" s="26" t="inlineStr"/>
      <c r="N20" s="27" t="inlineStr"/>
      <c r="O20" s="23" t="inlineStr">
        <is>
          <t>Não Monitorado</t>
        </is>
      </c>
      <c r="P20" s="23" t="inlineStr">
        <is>
          <t>Detrator Moderado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10050654</t>
        </is>
      </c>
      <c r="C21" s="6" t="inlineStr">
        <is>
          <t>POVIZTRA 2,4MG 3ML EUROFARMA</t>
        </is>
      </c>
      <c r="D21" s="7" t="n">
        <v>0</v>
      </c>
      <c r="E21" s="7" t="n">
        <v>3665.18</v>
      </c>
      <c r="F21" s="8" t="n">
        <v>-3665.18</v>
      </c>
      <c r="G21" s="9" t="n">
        <v>-1</v>
      </c>
      <c r="H21" s="10" t="n">
        <v>11026</v>
      </c>
      <c r="I21" s="11" t="n">
        <v>8.76</v>
      </c>
      <c r="J21" s="4" t="inlineStr">
        <is>
          <t>📉 Demanda Normal</t>
        </is>
      </c>
      <c r="K21" s="7" t="n">
        <v>1617.66</v>
      </c>
      <c r="L21" s="12" t="inlineStr">
        <is>
          <t>PREÇO POPULAR</t>
        </is>
      </c>
      <c r="M21" s="7" t="n">
        <v>1617.66</v>
      </c>
      <c r="N21" s="13" t="n">
        <v>0</v>
      </c>
      <c r="O21" s="12" t="inlineStr">
        <is>
          <t>Preço Alinhado</t>
        </is>
      </c>
      <c r="P21" s="12" t="inlineStr">
        <is>
          <t>Detrator Moderado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10041297</t>
        </is>
      </c>
      <c r="C22" s="17" t="inlineStr">
        <is>
          <t>FR HUGGIES MAXIMA PROT MAX XXXG 70UN</t>
        </is>
      </c>
      <c r="D22" s="18" t="n">
        <v>0</v>
      </c>
      <c r="E22" s="18" t="n">
        <v>3253.86</v>
      </c>
      <c r="F22" s="19" t="n">
        <v>-3253.86</v>
      </c>
      <c r="G22" s="20" t="n">
        <v>-1</v>
      </c>
      <c r="H22" s="21" t="n">
        <v>138436</v>
      </c>
      <c r="I22" s="22" t="n">
        <v>109.96</v>
      </c>
      <c r="J22" s="15" t="inlineStr">
        <is>
          <t>📉 Demanda Normal</t>
        </is>
      </c>
      <c r="K22" s="26" t="inlineStr"/>
      <c r="L22" s="23" t="inlineStr"/>
      <c r="M22" s="26" t="inlineStr"/>
      <c r="N22" s="27" t="inlineStr"/>
      <c r="O22" s="23" t="inlineStr">
        <is>
          <t>Não Monitorado</t>
        </is>
      </c>
      <c r="P22" s="23" t="inlineStr">
        <is>
          <t>Detrator Moderado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10041259</t>
        </is>
      </c>
      <c r="C23" s="6" t="inlineStr">
        <is>
          <t>FR HUGGIES MAXIMA PROT MAX G 92UN</t>
        </is>
      </c>
      <c r="D23" s="7" t="n">
        <v>0</v>
      </c>
      <c r="E23" s="7" t="n">
        <v>3179.5</v>
      </c>
      <c r="F23" s="8" t="n">
        <v>-3179.5</v>
      </c>
      <c r="G23" s="9" t="n">
        <v>-1</v>
      </c>
      <c r="H23" s="10" t="n">
        <v>130864</v>
      </c>
      <c r="I23" s="11" t="n">
        <v>103.94</v>
      </c>
      <c r="J23" s="4" t="inlineStr">
        <is>
          <t>📉 Demanda Normal</t>
        </is>
      </c>
      <c r="K23" s="28" t="inlineStr"/>
      <c r="L23" s="12" t="inlineStr"/>
      <c r="M23" s="28" t="inlineStr"/>
      <c r="N23" s="29" t="inlineStr"/>
      <c r="O23" s="12" t="inlineStr">
        <is>
          <t>Não Monitorado</t>
        </is>
      </c>
      <c r="P23" s="12" t="inlineStr">
        <is>
          <t>Detrator Moderado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10052532</t>
        </is>
      </c>
      <c r="C24" s="17" t="inlineStr">
        <is>
          <t>FR PAMPERS CONFORTSEC BAG MAX XXXG 70UN</t>
        </is>
      </c>
      <c r="D24" s="18" t="n">
        <v>0</v>
      </c>
      <c r="E24" s="18" t="n">
        <v>2900.58</v>
      </c>
      <c r="F24" s="19" t="n">
        <v>-2900.58</v>
      </c>
      <c r="G24" s="20" t="n">
        <v>-1</v>
      </c>
      <c r="H24" s="21" t="n">
        <v>352620</v>
      </c>
      <c r="I24" s="22" t="n">
        <v>280.08</v>
      </c>
      <c r="J24" s="15" t="inlineStr">
        <is>
          <t>📉 Demanda Normal</t>
        </is>
      </c>
      <c r="K24" s="26" t="inlineStr"/>
      <c r="L24" s="23" t="inlineStr"/>
      <c r="M24" s="26" t="inlineStr"/>
      <c r="N24" s="27" t="inlineStr"/>
      <c r="O24" s="23" t="inlineStr">
        <is>
          <t>Não Monitorado</t>
        </is>
      </c>
      <c r="P24" s="23" t="inlineStr">
        <is>
          <t>Detrator Moderado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10050648</t>
        </is>
      </c>
      <c r="C25" s="6" t="inlineStr">
        <is>
          <t>POVIZTRA 1MG 3ML EUROFARMA</t>
        </is>
      </c>
      <c r="D25" s="7" t="n">
        <v>0</v>
      </c>
      <c r="E25" s="7" t="n">
        <v>2851.82</v>
      </c>
      <c r="F25" s="8" t="n">
        <v>-2851.82</v>
      </c>
      <c r="G25" s="9" t="n">
        <v>-1</v>
      </c>
      <c r="H25" s="10" t="n">
        <v>56139</v>
      </c>
      <c r="I25" s="11" t="n">
        <v>44.59</v>
      </c>
      <c r="J25" s="4" t="inlineStr">
        <is>
          <t>📉 Demanda Normal</t>
        </is>
      </c>
      <c r="K25" s="7" t="n">
        <v>988.22</v>
      </c>
      <c r="L25" s="12" t="inlineStr">
        <is>
          <t>PREÇO POPULAR</t>
        </is>
      </c>
      <c r="M25" s="7" t="n">
        <v>988.22</v>
      </c>
      <c r="N25" s="13" t="n">
        <v>0</v>
      </c>
      <c r="O25" s="12" t="inlineStr">
        <is>
          <t>Preço Alinhado</t>
        </is>
      </c>
      <c r="P25" s="12" t="inlineStr">
        <is>
          <t>Detrator Moderado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10004419</t>
        </is>
      </c>
      <c r="C26" s="17" t="inlineStr">
        <is>
          <t>OZEMPIC 1MG 4AGULHAS NOVOFINE 4MM NOVO NORDISK</t>
        </is>
      </c>
      <c r="D26" s="18" t="n">
        <v>0</v>
      </c>
      <c r="E26" s="18" t="n">
        <v>2714.39</v>
      </c>
      <c r="F26" s="19" t="n">
        <v>-2714.39</v>
      </c>
      <c r="G26" s="20" t="n">
        <v>-1</v>
      </c>
      <c r="H26" s="21" t="n">
        <v>3238</v>
      </c>
      <c r="I26" s="22" t="n">
        <v>2.57</v>
      </c>
      <c r="J26" s="15" t="inlineStr">
        <is>
          <t>📉 Demanda Normal</t>
        </is>
      </c>
      <c r="K26" s="26" t="inlineStr"/>
      <c r="L26" s="23" t="inlineStr"/>
      <c r="M26" s="26" t="inlineStr"/>
      <c r="N26" s="27" t="inlineStr"/>
      <c r="O26" s="23" t="inlineStr">
        <is>
          <t>Não Monitorado</t>
        </is>
      </c>
      <c r="P26" s="23" t="inlineStr">
        <is>
          <t>Detrator Moderado</t>
        </is>
      </c>
      <c r="Q26" s="25" t="inlineStr">
        <is>
          <t>Push CRM / Recompra 30d no App</t>
        </is>
      </c>
    </row>
    <row r="27" ht="20" customHeight="1">
      <c r="A27" s="4" t="n">
        <v>23</v>
      </c>
      <c r="B27" s="5" t="inlineStr">
        <is>
          <t>10025717</t>
        </is>
      </c>
      <c r="C27" s="6" t="inlineStr">
        <is>
          <t>FR PAMPERS CONFORTSEC BAG SUPER P 72UN</t>
        </is>
      </c>
      <c r="D27" s="7" t="n">
        <v>0</v>
      </c>
      <c r="E27" s="7" t="n">
        <v>2625.39</v>
      </c>
      <c r="F27" s="8" t="n">
        <v>-2625.39</v>
      </c>
      <c r="G27" s="9" t="n">
        <v>-1</v>
      </c>
      <c r="H27" s="10" t="n">
        <v>134317</v>
      </c>
      <c r="I27" s="11" t="n">
        <v>106.69</v>
      </c>
      <c r="J27" s="4" t="inlineStr">
        <is>
          <t>📉 Demanda Normal</t>
        </is>
      </c>
      <c r="K27" s="28" t="inlineStr"/>
      <c r="L27" s="12" t="inlineStr"/>
      <c r="M27" s="28" t="inlineStr"/>
      <c r="N27" s="29" t="inlineStr"/>
      <c r="O27" s="12" t="inlineStr">
        <is>
          <t>Não Monitorado</t>
        </is>
      </c>
      <c r="P27" s="12" t="inlineStr">
        <is>
          <t>Detrator Moderado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10001142</t>
        </is>
      </c>
      <c r="C28" s="17" t="inlineStr">
        <is>
          <t>FR PAMPERS CONFORTSEC BAG SUPER M 70UN</t>
        </is>
      </c>
      <c r="D28" s="18" t="n">
        <v>0</v>
      </c>
      <c r="E28" s="18" t="n">
        <v>2609.48</v>
      </c>
      <c r="F28" s="19" t="n">
        <v>-2609.48</v>
      </c>
      <c r="G28" s="20" t="n">
        <v>-1</v>
      </c>
      <c r="H28" s="21" t="n">
        <v>148792</v>
      </c>
      <c r="I28" s="22" t="n">
        <v>118.18</v>
      </c>
      <c r="J28" s="15" t="inlineStr">
        <is>
          <t>📉 Demanda Normal</t>
        </is>
      </c>
      <c r="K28" s="26" t="inlineStr"/>
      <c r="L28" s="23" t="inlineStr"/>
      <c r="M28" s="26" t="inlineStr"/>
      <c r="N28" s="27" t="inlineStr"/>
      <c r="O28" s="23" t="inlineStr">
        <is>
          <t>Não Monitorado</t>
        </is>
      </c>
      <c r="P28" s="23" t="inlineStr">
        <is>
          <t>Detrator Moderado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10106687</t>
        </is>
      </c>
      <c r="C29" s="6" t="inlineStr">
        <is>
          <t>APTANUTRI PREMIUM 3 800G DANONE</t>
        </is>
      </c>
      <c r="D29" s="7" t="n">
        <v>0</v>
      </c>
      <c r="E29" s="7" t="n">
        <v>2567.58</v>
      </c>
      <c r="F29" s="8" t="n">
        <v>-2567.58</v>
      </c>
      <c r="G29" s="9" t="n">
        <v>-1</v>
      </c>
      <c r="H29" s="10" t="n">
        <v>245240</v>
      </c>
      <c r="I29" s="11" t="n">
        <v>194.79</v>
      </c>
      <c r="J29" s="4" t="inlineStr">
        <is>
          <t>🏷️ Preço Desalinhado</t>
        </is>
      </c>
      <c r="K29" s="7" t="n">
        <v>79.98999999999999</v>
      </c>
      <c r="L29" s="12" t="inlineStr">
        <is>
          <t>AMAZON</t>
        </is>
      </c>
      <c r="M29" s="7" t="n">
        <v>52.84</v>
      </c>
      <c r="N29" s="30" t="n">
        <v>0.514</v>
      </c>
      <c r="O29" s="12" t="inlineStr">
        <is>
          <t>São João Mais Cara</t>
        </is>
      </c>
      <c r="P29" s="12" t="inlineStr">
        <is>
          <t>Detrator Moderado</t>
        </is>
      </c>
      <c r="Q29" s="6" t="inlineStr">
        <is>
          <t>Reprecificar no Digital (Amazon R$ 52.84)</t>
        </is>
      </c>
    </row>
    <row r="30" ht="20" customHeight="1">
      <c r="A30" s="15" t="n">
        <v>26</v>
      </c>
      <c r="B30" s="16" t="inlineStr">
        <is>
          <t>100005474</t>
        </is>
      </c>
      <c r="C30" s="17" t="inlineStr">
        <is>
          <t>NANLAC COMFOR 3 800G NESTLE</t>
        </is>
      </c>
      <c r="D30" s="18" t="n">
        <v>0</v>
      </c>
      <c r="E30" s="18" t="n">
        <v>2357.83</v>
      </c>
      <c r="F30" s="19" t="n">
        <v>-2357.83</v>
      </c>
      <c r="G30" s="20" t="n">
        <v>-1</v>
      </c>
      <c r="H30" s="21" t="n">
        <v>287892</v>
      </c>
      <c r="I30" s="22" t="n">
        <v>228.67</v>
      </c>
      <c r="J30" s="15" t="inlineStr">
        <is>
          <t>🏷️ Preço Desalinhado</t>
        </is>
      </c>
      <c r="K30" s="18" t="n">
        <v>80.48999999999999</v>
      </c>
      <c r="L30" s="23" t="inlineStr">
        <is>
          <t>PREÇO POPULAR</t>
        </is>
      </c>
      <c r="M30" s="18" t="n">
        <v>59.99</v>
      </c>
      <c r="N30" s="32" t="n">
        <v>0.342</v>
      </c>
      <c r="O30" s="23" t="inlineStr">
        <is>
          <t>São João Mais Cara</t>
        </is>
      </c>
      <c r="P30" s="23" t="inlineStr">
        <is>
          <t>Detrator Moderado</t>
        </is>
      </c>
      <c r="Q30" s="17" t="inlineStr">
        <is>
          <t>Reprecificar no Digital (Precopopular R$ 59.99)</t>
        </is>
      </c>
    </row>
    <row r="31" ht="20" customHeight="1">
      <c r="A31" s="4" t="n">
        <v>27</v>
      </c>
      <c r="B31" s="5" t="inlineStr">
        <is>
          <t>10040802</t>
        </is>
      </c>
      <c r="C31" s="6" t="inlineStr">
        <is>
          <t>WEGOVY 2,4MG 3ML NOVO NORDISK</t>
        </is>
      </c>
      <c r="D31" s="7" t="n">
        <v>0</v>
      </c>
      <c r="E31" s="7" t="n">
        <v>2284.86</v>
      </c>
      <c r="F31" s="8" t="n">
        <v>-2284.86</v>
      </c>
      <c r="G31" s="9" t="n">
        <v>-1</v>
      </c>
      <c r="H31" s="10" t="n">
        <v>4846</v>
      </c>
      <c r="I31" s="11" t="n">
        <v>3.85</v>
      </c>
      <c r="J31" s="4" t="inlineStr">
        <is>
          <t>📉 Demanda Normal</t>
        </is>
      </c>
      <c r="K31" s="7" t="n">
        <v>2501.8</v>
      </c>
      <c r="L31" s="12" t="inlineStr">
        <is>
          <t>PREÇO POPULAR</t>
        </is>
      </c>
      <c r="M31" s="7" t="n">
        <v>2501.8</v>
      </c>
      <c r="N31" s="13" t="n">
        <v>0</v>
      </c>
      <c r="O31" s="12" t="inlineStr">
        <is>
          <t>Preço Alinhado</t>
        </is>
      </c>
      <c r="P31" s="12" t="inlineStr">
        <is>
          <t>Detrator Moderado</t>
        </is>
      </c>
      <c r="Q31" s="14" t="inlineStr">
        <is>
          <t>Push CRM / Recompra 30d no App</t>
        </is>
      </c>
    </row>
    <row r="32" ht="20" customHeight="1">
      <c r="A32" s="15" t="n">
        <v>28</v>
      </c>
      <c r="B32" s="16" t="inlineStr">
        <is>
          <t>10050032</t>
        </is>
      </c>
      <c r="C32" s="17" t="inlineStr">
        <is>
          <t>MASC CAB DOVE 250G UV REPAIR</t>
        </is>
      </c>
      <c r="D32" s="18" t="n">
        <v>0</v>
      </c>
      <c r="E32" s="18" t="n">
        <v>2031.8</v>
      </c>
      <c r="F32" s="19" t="n">
        <v>-2031.8</v>
      </c>
      <c r="G32" s="20" t="n">
        <v>-1</v>
      </c>
      <c r="H32" s="21" t="n">
        <v>5057</v>
      </c>
      <c r="I32" s="22" t="n">
        <v>4.02</v>
      </c>
      <c r="J32" s="15" t="inlineStr">
        <is>
          <t>📉 Demanda Normal</t>
        </is>
      </c>
      <c r="K32" s="26" t="inlineStr"/>
      <c r="L32" s="23" t="inlineStr"/>
      <c r="M32" s="26" t="inlineStr"/>
      <c r="N32" s="27" t="inlineStr"/>
      <c r="O32" s="23" t="inlineStr">
        <is>
          <t>Não Monitorado</t>
        </is>
      </c>
      <c r="P32" s="23" t="inlineStr">
        <is>
          <t>Detrator Moderado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10038743</t>
        </is>
      </c>
      <c r="C33" s="6" t="inlineStr">
        <is>
          <t>FR PAMPERS CONFORTSEC BAG SUPER XXXG 44U</t>
        </is>
      </c>
      <c r="D33" s="7" t="n">
        <v>0</v>
      </c>
      <c r="E33" s="7" t="n">
        <v>2002.31</v>
      </c>
      <c r="F33" s="8" t="n">
        <v>-2002.31</v>
      </c>
      <c r="G33" s="9" t="n">
        <v>-1</v>
      </c>
      <c r="H33" s="10" t="n">
        <v>55858</v>
      </c>
      <c r="I33" s="11" t="n">
        <v>44.37</v>
      </c>
      <c r="J33" s="4" t="inlineStr">
        <is>
          <t>📉 Demanda Normal</t>
        </is>
      </c>
      <c r="K33" s="28" t="inlineStr"/>
      <c r="L33" s="12" t="inlineStr"/>
      <c r="M33" s="28" t="inlineStr"/>
      <c r="N33" s="29" t="inlineStr"/>
      <c r="O33" s="12" t="inlineStr">
        <is>
          <t>Não Monitorado</t>
        </is>
      </c>
      <c r="P33" s="12" t="inlineStr">
        <is>
          <t>Detrator Moderado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10042966</t>
        </is>
      </c>
      <c r="C34" s="17" t="inlineStr">
        <is>
          <t>FR PAMPERS CONFORTSEC JUMBO M 148UN</t>
        </is>
      </c>
      <c r="D34" s="18" t="n">
        <v>0</v>
      </c>
      <c r="E34" s="18" t="n">
        <v>1951.14</v>
      </c>
      <c r="F34" s="19" t="n">
        <v>-1951.14</v>
      </c>
      <c r="G34" s="20" t="n">
        <v>-1</v>
      </c>
      <c r="H34" s="21" t="n">
        <v>14089</v>
      </c>
      <c r="I34" s="22" t="n">
        <v>11.19</v>
      </c>
      <c r="J34" s="15" t="inlineStr">
        <is>
          <t>📉 Demanda Normal</t>
        </is>
      </c>
      <c r="K34" s="26" t="inlineStr"/>
      <c r="L34" s="23" t="inlineStr"/>
      <c r="M34" s="26" t="inlineStr"/>
      <c r="N34" s="27" t="inlineStr"/>
      <c r="O34" s="23" t="inlineStr">
        <is>
          <t>Não Monitorado</t>
        </is>
      </c>
      <c r="P34" s="23" t="inlineStr">
        <is>
          <t>Detrator Moderado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10041262</t>
        </is>
      </c>
      <c r="C35" s="6" t="inlineStr">
        <is>
          <t>FR HUGGIES ROUPINHA ACOLCHOADA MAX XG 80</t>
        </is>
      </c>
      <c r="D35" s="7" t="n">
        <v>0</v>
      </c>
      <c r="E35" s="7" t="n">
        <v>1924.21</v>
      </c>
      <c r="F35" s="8" t="n">
        <v>-1924.21</v>
      </c>
      <c r="G35" s="9" t="n">
        <v>-1</v>
      </c>
      <c r="H35" s="10" t="n">
        <v>7722</v>
      </c>
      <c r="I35" s="11" t="n">
        <v>6.13</v>
      </c>
      <c r="J35" s="4" t="inlineStr">
        <is>
          <t>📉 Demanda Normal</t>
        </is>
      </c>
      <c r="K35" s="28" t="inlineStr"/>
      <c r="L35" s="12" t="inlineStr"/>
      <c r="M35" s="28" t="inlineStr"/>
      <c r="N35" s="29" t="inlineStr"/>
      <c r="O35" s="12" t="inlineStr">
        <is>
          <t>Não Monitorado</t>
        </is>
      </c>
      <c r="P35" s="12" t="inlineStr">
        <is>
          <t>Detrator Moderado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10030119</t>
        </is>
      </c>
      <c r="C36" s="17" t="inlineStr">
        <is>
          <t>RYBELSUS 14MG 30CP NOVO NORDISK</t>
        </is>
      </c>
      <c r="D36" s="18" t="n">
        <v>0</v>
      </c>
      <c r="E36" s="18" t="n">
        <v>1721.55</v>
      </c>
      <c r="F36" s="19" t="n">
        <v>-1721.55</v>
      </c>
      <c r="G36" s="20" t="n">
        <v>-1</v>
      </c>
      <c r="H36" s="21" t="n">
        <v>2709</v>
      </c>
      <c r="I36" s="22" t="n">
        <v>2.15</v>
      </c>
      <c r="J36" s="15" t="inlineStr">
        <is>
          <t>📉 Demanda Normal</t>
        </is>
      </c>
      <c r="K36" s="18" t="n">
        <v>1301.17</v>
      </c>
      <c r="L36" s="23" t="inlineStr">
        <is>
          <t>PREÇO POPULAR</t>
        </is>
      </c>
      <c r="M36" s="18" t="n">
        <v>1301.17</v>
      </c>
      <c r="N36" s="24" t="n">
        <v>0</v>
      </c>
      <c r="O36" s="23" t="inlineStr">
        <is>
          <t>Preço Alinhado</t>
        </is>
      </c>
      <c r="P36" s="23" t="inlineStr">
        <is>
          <t>Detrator Moderado</t>
        </is>
      </c>
      <c r="Q36" s="25" t="inlineStr">
        <is>
          <t>Push CRM / Recompra 30d no App</t>
        </is>
      </c>
    </row>
    <row r="37" ht="20" customHeight="1">
      <c r="A37" s="4" t="n">
        <v>33</v>
      </c>
      <c r="B37" s="5" t="inlineStr">
        <is>
          <t>10039431</t>
        </is>
      </c>
      <c r="C37" s="6" t="inlineStr">
        <is>
          <t>MASC CAB DOVE 250G 10EM1 BOND INTENSE REPAIR</t>
        </is>
      </c>
      <c r="D37" s="7" t="n">
        <v>0</v>
      </c>
      <c r="E37" s="7" t="n">
        <v>1575.72</v>
      </c>
      <c r="F37" s="8" t="n">
        <v>-1575.72</v>
      </c>
      <c r="G37" s="9" t="n">
        <v>-1</v>
      </c>
      <c r="H37" s="10" t="n">
        <v>12222</v>
      </c>
      <c r="I37" s="11" t="n">
        <v>9.710000000000001</v>
      </c>
      <c r="J37" s="4" t="inlineStr">
        <is>
          <t>🏷️ Preço Desalinhado</t>
        </is>
      </c>
      <c r="K37" s="7" t="n">
        <v>39.9</v>
      </c>
      <c r="L37" s="12" t="inlineStr">
        <is>
          <t>AMAZON</t>
        </is>
      </c>
      <c r="M37" s="7" t="n">
        <v>29.9</v>
      </c>
      <c r="N37" s="30" t="n">
        <v>0.334</v>
      </c>
      <c r="O37" s="12" t="inlineStr">
        <is>
          <t>São João Mais Cara</t>
        </is>
      </c>
      <c r="P37" s="12" t="inlineStr">
        <is>
          <t>Detrator Moderado</t>
        </is>
      </c>
      <c r="Q37" s="6" t="inlineStr">
        <is>
          <t>Reprecificar no Digital (Amazon R$ 29.90)</t>
        </is>
      </c>
    </row>
    <row r="38" ht="20" customHeight="1">
      <c r="A38" s="15" t="n">
        <v>34</v>
      </c>
      <c r="B38" s="16" t="inlineStr">
        <is>
          <t>10001097</t>
        </is>
      </c>
      <c r="C38" s="17" t="inlineStr">
        <is>
          <t>TOALHAS UMED HUGGIES 192UN ROSTO E CORPO</t>
        </is>
      </c>
      <c r="D38" s="18" t="n">
        <v>0</v>
      </c>
      <c r="E38" s="18" t="n">
        <v>1525.98</v>
      </c>
      <c r="F38" s="19" t="n">
        <v>-1525.98</v>
      </c>
      <c r="G38" s="20" t="n">
        <v>-1</v>
      </c>
      <c r="H38" s="21" t="n">
        <v>295908</v>
      </c>
      <c r="I38" s="22" t="n">
        <v>235.03</v>
      </c>
      <c r="J38" s="15" t="inlineStr">
        <is>
          <t>📉 Demanda Normal</t>
        </is>
      </c>
      <c r="K38" s="18" t="n">
        <v>29.9</v>
      </c>
      <c r="L38" s="23" t="inlineStr">
        <is>
          <t>AMAZON</t>
        </is>
      </c>
      <c r="M38" s="18" t="n">
        <v>28.79</v>
      </c>
      <c r="N38" s="32" t="n">
        <v>0.039</v>
      </c>
      <c r="O38" s="23" t="inlineStr">
        <is>
          <t>São João Mais Cara</t>
        </is>
      </c>
      <c r="P38" s="23" t="inlineStr">
        <is>
          <t>Detrator Moderado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10046027</t>
        </is>
      </c>
      <c r="C39" s="6" t="inlineStr">
        <is>
          <t>FR PAMPERS SUPERSEC XG 56UN</t>
        </is>
      </c>
      <c r="D39" s="7" t="n">
        <v>0</v>
      </c>
      <c r="E39" s="7" t="n">
        <v>1461.8</v>
      </c>
      <c r="F39" s="8" t="n">
        <v>-1461.8</v>
      </c>
      <c r="G39" s="9" t="n">
        <v>-1</v>
      </c>
      <c r="H39" s="10" t="n">
        <v>69066</v>
      </c>
      <c r="I39" s="11" t="n">
        <v>54.86</v>
      </c>
      <c r="J39" s="4" t="inlineStr">
        <is>
          <t>🏷️ Preço Desalinhado</t>
        </is>
      </c>
      <c r="K39" s="7" t="n">
        <v>85.90000000000001</v>
      </c>
      <c r="L39" s="12" t="inlineStr">
        <is>
          <t>PREÇO POPULAR</t>
        </is>
      </c>
      <c r="M39" s="7" t="n">
        <v>59.9</v>
      </c>
      <c r="N39" s="30" t="n">
        <v>0.434</v>
      </c>
      <c r="O39" s="12" t="inlineStr">
        <is>
          <t>São João Mais Cara</t>
        </is>
      </c>
      <c r="P39" s="12" t="inlineStr">
        <is>
          <t>Detrator Moderado</t>
        </is>
      </c>
      <c r="Q39" s="6" t="inlineStr">
        <is>
          <t>Reprecificar no Digital (Precopopular R$ 59.90)</t>
        </is>
      </c>
    </row>
    <row r="40" ht="20" customHeight="1">
      <c r="A40" s="15" t="n">
        <v>36</v>
      </c>
      <c r="B40" s="16" t="inlineStr">
        <is>
          <t>10050017</t>
        </is>
      </c>
      <c r="C40" s="17" t="inlineStr">
        <is>
          <t>SH DOVE 600ML UV REPAIR</t>
        </is>
      </c>
      <c r="D40" s="18" t="n">
        <v>0</v>
      </c>
      <c r="E40" s="18" t="n">
        <v>1461.57</v>
      </c>
      <c r="F40" s="19" t="n">
        <v>-1461.57</v>
      </c>
      <c r="G40" s="20" t="n">
        <v>-1</v>
      </c>
      <c r="H40" s="21" t="n">
        <v>7630</v>
      </c>
      <c r="I40" s="22" t="n">
        <v>6.06</v>
      </c>
      <c r="J40" s="15" t="inlineStr">
        <is>
          <t>🏷️ Preço Desalinhado</t>
        </is>
      </c>
      <c r="K40" s="18" t="n">
        <v>33.9</v>
      </c>
      <c r="L40" s="23" t="inlineStr">
        <is>
          <t>AMAZON</t>
        </is>
      </c>
      <c r="M40" s="18" t="n">
        <v>28.54</v>
      </c>
      <c r="N40" s="32" t="n">
        <v>0.188</v>
      </c>
      <c r="O40" s="23" t="inlineStr">
        <is>
          <t>São João Mais Cara</t>
        </is>
      </c>
      <c r="P40" s="23" t="inlineStr">
        <is>
          <t>Detrator Moderado</t>
        </is>
      </c>
      <c r="Q40" s="17" t="inlineStr">
        <is>
          <t>Reprecificar no Digital (Amazon R$ 28.54)</t>
        </is>
      </c>
    </row>
    <row r="41" ht="20" customHeight="1">
      <c r="A41" s="4" t="n">
        <v>37</v>
      </c>
      <c r="B41" s="5" t="inlineStr">
        <is>
          <t>10050031</t>
        </is>
      </c>
      <c r="C41" s="6" t="inlineStr">
        <is>
          <t>COND DOVE 600ML UV REPAIR</t>
        </is>
      </c>
      <c r="D41" s="7" t="n">
        <v>0</v>
      </c>
      <c r="E41" s="7" t="n">
        <v>1424.76</v>
      </c>
      <c r="F41" s="8" t="n">
        <v>-1424.76</v>
      </c>
      <c r="G41" s="9" t="n">
        <v>-1</v>
      </c>
      <c r="H41" s="10" t="n">
        <v>15576</v>
      </c>
      <c r="I41" s="11" t="n">
        <v>12.37</v>
      </c>
      <c r="J41" s="4" t="inlineStr">
        <is>
          <t>📉 Demanda Normal</t>
        </is>
      </c>
      <c r="K41" s="28" t="inlineStr"/>
      <c r="L41" s="12" t="inlineStr"/>
      <c r="M41" s="28" t="inlineStr"/>
      <c r="N41" s="29" t="inlineStr"/>
      <c r="O41" s="12" t="inlineStr">
        <is>
          <t>Não Monitorado</t>
        </is>
      </c>
      <c r="P41" s="12" t="inlineStr">
        <is>
          <t>Detrator Moderado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10046025</t>
        </is>
      </c>
      <c r="C42" s="17" t="inlineStr">
        <is>
          <t>FR PAMPERS SUPERSEC G 60UN</t>
        </is>
      </c>
      <c r="D42" s="18" t="n">
        <v>0</v>
      </c>
      <c r="E42" s="18" t="n">
        <v>1380.23</v>
      </c>
      <c r="F42" s="19" t="n">
        <v>-1380.23</v>
      </c>
      <c r="G42" s="20" t="n">
        <v>-1</v>
      </c>
      <c r="H42" s="21" t="n">
        <v>32543</v>
      </c>
      <c r="I42" s="22" t="n">
        <v>25.85</v>
      </c>
      <c r="J42" s="15" t="inlineStr">
        <is>
          <t>🏷️ Preço Desalinhado</t>
        </is>
      </c>
      <c r="K42" s="18" t="n">
        <v>69.90000000000001</v>
      </c>
      <c r="L42" s="23" t="inlineStr">
        <is>
          <t>PREÇO POPULAR</t>
        </is>
      </c>
      <c r="M42" s="18" t="n">
        <v>59.9</v>
      </c>
      <c r="N42" s="32" t="n">
        <v>0.167</v>
      </c>
      <c r="O42" s="23" t="inlineStr">
        <is>
          <t>São João Mais Cara</t>
        </is>
      </c>
      <c r="P42" s="23" t="inlineStr">
        <is>
          <t>Detrator Moderado</t>
        </is>
      </c>
      <c r="Q42" s="17" t="inlineStr">
        <is>
          <t>Reprecificar no Digital (Precopopular R$ 59.90)</t>
        </is>
      </c>
    </row>
    <row r="43" ht="20" customHeight="1">
      <c r="A43" s="4" t="n">
        <v>39</v>
      </c>
      <c r="B43" s="5" t="inlineStr">
        <is>
          <t>10020597</t>
        </is>
      </c>
      <c r="C43" s="6" t="inlineStr">
        <is>
          <t>TOALHAS UMED PAMPERS LV4 PG3 ALOE VERA</t>
        </is>
      </c>
      <c r="D43" s="7" t="n">
        <v>0</v>
      </c>
      <c r="E43" s="7" t="n">
        <v>1318.75</v>
      </c>
      <c r="F43" s="8" t="n">
        <v>-1318.75</v>
      </c>
      <c r="G43" s="9" t="n">
        <v>-1</v>
      </c>
      <c r="H43" s="10" t="n">
        <v>106024</v>
      </c>
      <c r="I43" s="11" t="n">
        <v>84.20999999999999</v>
      </c>
      <c r="J43" s="4" t="inlineStr">
        <is>
          <t>📉 Demanda Normal</t>
        </is>
      </c>
      <c r="K43" s="7" t="n">
        <v>35.9</v>
      </c>
      <c r="L43" s="12" t="inlineStr">
        <is>
          <t>AMAZON</t>
        </is>
      </c>
      <c r="M43" s="7" t="n">
        <v>36.89</v>
      </c>
      <c r="N43" s="13" t="n">
        <v>-0.027</v>
      </c>
      <c r="O43" s="12" t="inlineStr">
        <is>
          <t>Líder de Preço</t>
        </is>
      </c>
      <c r="P43" s="12" t="inlineStr">
        <is>
          <t>Detrator Moderado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10050653</t>
        </is>
      </c>
      <c r="C44" s="17" t="inlineStr">
        <is>
          <t>POVIZTRA 1,7MG 3ML EUROFARMA</t>
        </is>
      </c>
      <c r="D44" s="18" t="n">
        <v>0</v>
      </c>
      <c r="E44" s="18" t="n">
        <v>1299.59</v>
      </c>
      <c r="F44" s="19" t="n">
        <v>-1299.59</v>
      </c>
      <c r="G44" s="20" t="n">
        <v>-1</v>
      </c>
      <c r="H44" s="21" t="n">
        <v>3080</v>
      </c>
      <c r="I44" s="22" t="n">
        <v>2.45</v>
      </c>
      <c r="J44" s="15" t="inlineStr">
        <is>
          <t>📉 Demanda Normal</t>
        </is>
      </c>
      <c r="K44" s="18" t="n">
        <v>1347.91</v>
      </c>
      <c r="L44" s="23" t="inlineStr">
        <is>
          <t>PREÇO POPULAR</t>
        </is>
      </c>
      <c r="M44" s="18" t="n">
        <v>1347.89</v>
      </c>
      <c r="N44" s="24" t="n">
        <v>0</v>
      </c>
      <c r="O44" s="23" t="inlineStr">
        <is>
          <t>Preço Alinhado</t>
        </is>
      </c>
      <c r="P44" s="23" t="inlineStr">
        <is>
          <t>Detrator Moderado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10046024</t>
        </is>
      </c>
      <c r="C45" s="6" t="inlineStr">
        <is>
          <t>FR PAMPERS SUPERSEC XXG 50UN</t>
        </is>
      </c>
      <c r="D45" s="7" t="n">
        <v>0</v>
      </c>
      <c r="E45" s="7" t="n">
        <v>1210.9</v>
      </c>
      <c r="F45" s="8" t="n">
        <v>-1210.9</v>
      </c>
      <c r="G45" s="9" t="n">
        <v>-1</v>
      </c>
      <c r="H45" s="10" t="n">
        <v>47205</v>
      </c>
      <c r="I45" s="11" t="n">
        <v>37.49</v>
      </c>
      <c r="J45" s="4" t="inlineStr">
        <is>
          <t>📉 Demanda Normal</t>
        </is>
      </c>
      <c r="K45" s="28" t="inlineStr"/>
      <c r="L45" s="12" t="inlineStr"/>
      <c r="M45" s="28" t="inlineStr"/>
      <c r="N45" s="29" t="inlineStr"/>
      <c r="O45" s="12" t="inlineStr">
        <is>
          <t>Não Monitorado</t>
        </is>
      </c>
      <c r="P45" s="12" t="inlineStr">
        <is>
          <t>Detrator Moderado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10034467</t>
        </is>
      </c>
      <c r="C46" s="17" t="inlineStr">
        <is>
          <t>SLINDA 4MG 72CP+12PLACEBOS EXELTIS</t>
        </is>
      </c>
      <c r="D46" s="18" t="n">
        <v>0</v>
      </c>
      <c r="E46" s="18" t="n">
        <v>1152.63</v>
      </c>
      <c r="F46" s="19" t="n">
        <v>-1152.63</v>
      </c>
      <c r="G46" s="20" t="n">
        <v>-1</v>
      </c>
      <c r="H46" s="21" t="n">
        <v>9961</v>
      </c>
      <c r="I46" s="22" t="n">
        <v>7.91</v>
      </c>
      <c r="J46" s="15" t="inlineStr">
        <is>
          <t>📉 Demanda Normal</t>
        </is>
      </c>
      <c r="K46" s="26" t="inlineStr"/>
      <c r="L46" s="23" t="inlineStr">
        <is>
          <t>DROGARAIA</t>
        </is>
      </c>
      <c r="M46" s="18" t="n">
        <v>234.98</v>
      </c>
      <c r="N46" s="27" t="inlineStr"/>
      <c r="O46" s="23" t="inlineStr">
        <is>
          <t>Não Monitorado</t>
        </is>
      </c>
      <c r="P46" s="23" t="inlineStr">
        <is>
          <t>Detrator Moderado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100014678</t>
        </is>
      </c>
      <c r="C47" s="6" t="inlineStr">
        <is>
          <t>TADALAFILA 5MG 30CP REV GEN EMS</t>
        </is>
      </c>
      <c r="D47" s="7" t="n">
        <v>0</v>
      </c>
      <c r="E47" s="7" t="n">
        <v>1143.32</v>
      </c>
      <c r="F47" s="8" t="n">
        <v>-1143.32</v>
      </c>
      <c r="G47" s="9" t="n">
        <v>-1</v>
      </c>
      <c r="H47" s="10" t="n">
        <v>806694</v>
      </c>
      <c r="I47" s="11" t="n">
        <v>640.74</v>
      </c>
      <c r="J47" s="4" t="inlineStr">
        <is>
          <t>🏷️ Preço Desalinhado</t>
        </is>
      </c>
      <c r="K47" s="7" t="n">
        <v>18.09</v>
      </c>
      <c r="L47" s="12" t="inlineStr">
        <is>
          <t>DROGARAIA</t>
        </is>
      </c>
      <c r="M47" s="7" t="n">
        <v>14.68</v>
      </c>
      <c r="N47" s="30" t="n">
        <v>0.232</v>
      </c>
      <c r="O47" s="12" t="inlineStr">
        <is>
          <t>São João Mais Cara</t>
        </is>
      </c>
      <c r="P47" s="12" t="inlineStr">
        <is>
          <t>Detrator Moderado</t>
        </is>
      </c>
      <c r="Q47" s="6" t="inlineStr">
        <is>
          <t>Reprecificar no Digital (Drogaraia R$ 14.68)</t>
        </is>
      </c>
    </row>
    <row r="48" ht="20" customHeight="1">
      <c r="A48" s="15" t="n">
        <v>44</v>
      </c>
      <c r="B48" s="16" t="inlineStr">
        <is>
          <t>10050642</t>
        </is>
      </c>
      <c r="C48" s="17" t="inlineStr">
        <is>
          <t>POVIZTRA 0,5MG 1,5ML EUROFARMA</t>
        </is>
      </c>
      <c r="D48" s="18" t="n">
        <v>0</v>
      </c>
      <c r="E48" s="18" t="n">
        <v>1119.57</v>
      </c>
      <c r="F48" s="19" t="n">
        <v>-1119.57</v>
      </c>
      <c r="G48" s="20" t="n">
        <v>-1</v>
      </c>
      <c r="H48" s="21" t="n">
        <v>18417</v>
      </c>
      <c r="I48" s="22" t="n">
        <v>14.63</v>
      </c>
      <c r="J48" s="15" t="inlineStr">
        <is>
          <t>📉 Demanda Normal</t>
        </is>
      </c>
      <c r="K48" s="18" t="n">
        <v>955.85</v>
      </c>
      <c r="L48" s="23" t="inlineStr">
        <is>
          <t>PREÇO POPULAR</t>
        </is>
      </c>
      <c r="M48" s="18" t="n">
        <v>955.85</v>
      </c>
      <c r="N48" s="24" t="n">
        <v>0</v>
      </c>
      <c r="O48" s="23" t="inlineStr">
        <is>
          <t>Preço Alinhado</t>
        </is>
      </c>
      <c r="P48" s="23" t="inlineStr">
        <is>
          <t>Detrator Moderado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10052539</t>
        </is>
      </c>
      <c r="C49" s="6" t="inlineStr">
        <is>
          <t>FR PAMPERS PANTS AJUSTE TOTAL MAX XG 82U</t>
        </is>
      </c>
      <c r="D49" s="7" t="n">
        <v>0</v>
      </c>
      <c r="E49" s="7" t="n">
        <v>1112.69</v>
      </c>
      <c r="F49" s="8" t="n">
        <v>-1112.69</v>
      </c>
      <c r="G49" s="9" t="n">
        <v>-1</v>
      </c>
      <c r="H49" s="10" t="n">
        <v>18487</v>
      </c>
      <c r="I49" s="11" t="n">
        <v>14.68</v>
      </c>
      <c r="J49" s="4" t="inlineStr">
        <is>
          <t>📉 Demanda Normal</t>
        </is>
      </c>
      <c r="K49" s="28" t="inlineStr"/>
      <c r="L49" s="12" t="inlineStr"/>
      <c r="M49" s="28" t="inlineStr"/>
      <c r="N49" s="29" t="inlineStr"/>
      <c r="O49" s="12" t="inlineStr">
        <is>
          <t>Não Monitorado</t>
        </is>
      </c>
      <c r="P49" s="12" t="inlineStr">
        <is>
          <t>Detrator Moderado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10033463</t>
        </is>
      </c>
      <c r="C50" s="17" t="inlineStr">
        <is>
          <t>FR BABYSEC ULTRA HIPER XG 56UN</t>
        </is>
      </c>
      <c r="D50" s="18" t="n">
        <v>0</v>
      </c>
      <c r="E50" s="18" t="n">
        <v>1109.11</v>
      </c>
      <c r="F50" s="19" t="n">
        <v>-1109.11</v>
      </c>
      <c r="G50" s="20" t="n">
        <v>-1</v>
      </c>
      <c r="H50" s="21" t="n">
        <v>208402</v>
      </c>
      <c r="I50" s="22" t="n">
        <v>165.53</v>
      </c>
      <c r="J50" s="15" t="inlineStr">
        <is>
          <t>🏷️ Preço Desalinhado</t>
        </is>
      </c>
      <c r="K50" s="18" t="n">
        <v>69.90000000000001</v>
      </c>
      <c r="L50" s="23" t="inlineStr">
        <is>
          <t>PREÇO POPULAR</t>
        </is>
      </c>
      <c r="M50" s="18" t="n">
        <v>59.9</v>
      </c>
      <c r="N50" s="32" t="n">
        <v>0.167</v>
      </c>
      <c r="O50" s="23" t="inlineStr">
        <is>
          <t>São João Mais Cara</t>
        </is>
      </c>
      <c r="P50" s="23" t="inlineStr">
        <is>
          <t>Detrator Moderado</t>
        </is>
      </c>
      <c r="Q50" s="17" t="inlineStr">
        <is>
          <t>Reprecificar no Digital (Precopopular R$ 59.90)</t>
        </is>
      </c>
    </row>
    <row r="51" ht="20" customHeight="1">
      <c r="A51" s="4" t="n">
        <v>47</v>
      </c>
      <c r="B51" s="5" t="inlineStr">
        <is>
          <t>10026836</t>
        </is>
      </c>
      <c r="C51" s="6" t="inlineStr">
        <is>
          <t>IUMI ES 3MG+20MCG 120CP REV LIBBS</t>
        </is>
      </c>
      <c r="D51" s="7" t="n">
        <v>0</v>
      </c>
      <c r="E51" s="7" t="n">
        <v>1080.37</v>
      </c>
      <c r="F51" s="8" t="n">
        <v>-1080.37</v>
      </c>
      <c r="G51" s="9" t="n">
        <v>-1</v>
      </c>
      <c r="H51" s="10" t="n">
        <v>8639</v>
      </c>
      <c r="I51" s="11" t="n">
        <v>6.86</v>
      </c>
      <c r="J51" s="4" t="inlineStr">
        <is>
          <t>📉 Demanda Normal</t>
        </is>
      </c>
      <c r="K51" s="7" t="n">
        <v>153.23</v>
      </c>
      <c r="L51" s="12" t="inlineStr">
        <is>
          <t>DROGARAIA</t>
        </is>
      </c>
      <c r="M51" s="7" t="n">
        <v>173.71</v>
      </c>
      <c r="N51" s="13" t="n">
        <v>-0.118</v>
      </c>
      <c r="O51" s="12" t="inlineStr">
        <is>
          <t>Líder de Preço</t>
        </is>
      </c>
      <c r="P51" s="12" t="inlineStr">
        <is>
          <t>Detrator Moderado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10106679</t>
        </is>
      </c>
      <c r="C52" s="17" t="inlineStr">
        <is>
          <t>NICORETTE 4MG 30GOMAS ICE MENTA</t>
        </is>
      </c>
      <c r="D52" s="18" t="n">
        <v>0</v>
      </c>
      <c r="E52" s="18" t="n">
        <v>1076.73</v>
      </c>
      <c r="F52" s="19" t="n">
        <v>-1076.73</v>
      </c>
      <c r="G52" s="20" t="n">
        <v>-1</v>
      </c>
      <c r="H52" s="21" t="n">
        <v>31578</v>
      </c>
      <c r="I52" s="22" t="n">
        <v>25.08</v>
      </c>
      <c r="J52" s="15" t="inlineStr">
        <is>
          <t>🏷️ Preço Desalinhado</t>
        </is>
      </c>
      <c r="K52" s="18" t="n">
        <v>117.76</v>
      </c>
      <c r="L52" s="23" t="inlineStr">
        <is>
          <t>DROGARAIA</t>
        </is>
      </c>
      <c r="M52" s="18" t="n">
        <v>83.44</v>
      </c>
      <c r="N52" s="32" t="n">
        <v>0.411</v>
      </c>
      <c r="O52" s="23" t="inlineStr">
        <is>
          <t>São João Mais Cara</t>
        </is>
      </c>
      <c r="P52" s="23" t="inlineStr">
        <is>
          <t>Detrator Moderado</t>
        </is>
      </c>
      <c r="Q52" s="17" t="inlineStr">
        <is>
          <t>Reprecificar no Digital (Drogaraia R$ 83.44)</t>
        </is>
      </c>
    </row>
    <row r="53" ht="20" customHeight="1">
      <c r="A53" s="4" t="n">
        <v>49</v>
      </c>
      <c r="B53" s="5" t="inlineStr">
        <is>
          <t>10049094</t>
        </is>
      </c>
      <c r="C53" s="6" t="inlineStr">
        <is>
          <t>NUSTENDI 180MG/10MG 30CP DAIICHI</t>
        </is>
      </c>
      <c r="D53" s="7" t="n">
        <v>0</v>
      </c>
      <c r="E53" s="7" t="n">
        <v>1028.3</v>
      </c>
      <c r="F53" s="8" t="n">
        <v>-1028.3</v>
      </c>
      <c r="G53" s="9" t="n">
        <v>-1</v>
      </c>
      <c r="H53" s="10" t="n">
        <v>12641</v>
      </c>
      <c r="I53" s="11" t="n">
        <v>10.04</v>
      </c>
      <c r="J53" s="4" t="inlineStr">
        <is>
          <t>🏷️ Preço Desalinhado</t>
        </is>
      </c>
      <c r="K53" s="7" t="n">
        <v>218.67</v>
      </c>
      <c r="L53" s="12" t="inlineStr">
        <is>
          <t>NISSEI</t>
        </is>
      </c>
      <c r="M53" s="7" t="n">
        <v>197.18</v>
      </c>
      <c r="N53" s="30" t="n">
        <v>0.109</v>
      </c>
      <c r="O53" s="12" t="inlineStr">
        <is>
          <t>São João Mais Cara</t>
        </is>
      </c>
      <c r="P53" s="12" t="inlineStr">
        <is>
          <t>Detrator Moderado</t>
        </is>
      </c>
      <c r="Q53" s="6" t="inlineStr">
        <is>
          <t>Reprecificar no Digital (Farmaciasnissei R$ 197.18)</t>
        </is>
      </c>
    </row>
    <row r="54" ht="20" customHeight="1">
      <c r="A54" s="15" t="n">
        <v>50</v>
      </c>
      <c r="B54" s="16" t="inlineStr">
        <is>
          <t>10048719</t>
        </is>
      </c>
      <c r="C54" s="17" t="inlineStr">
        <is>
          <t>FR SAO JOAO BABY MAX XXG 80UN</t>
        </is>
      </c>
      <c r="D54" s="18" t="n">
        <v>0</v>
      </c>
      <c r="E54" s="18" t="n">
        <v>972.77</v>
      </c>
      <c r="F54" s="19" t="n">
        <v>-972.77</v>
      </c>
      <c r="G54" s="20" t="n">
        <v>-1</v>
      </c>
      <c r="H54" s="21" t="n">
        <v>67674</v>
      </c>
      <c r="I54" s="22" t="n">
        <v>53.75</v>
      </c>
      <c r="J54" s="15" t="inlineStr">
        <is>
          <t>📉 Demanda Normal</t>
        </is>
      </c>
      <c r="K54" s="26" t="inlineStr"/>
      <c r="L54" s="23" t="inlineStr"/>
      <c r="M54" s="26" t="inlineStr"/>
      <c r="N54" s="27" t="inlineStr"/>
      <c r="O54" s="23" t="inlineStr">
        <is>
          <t>Não Monitorado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3" t="inlineStr">
        <is>
          <t>TOTAL TOP 50</t>
        </is>
      </c>
      <c r="B55" s="34" t="n"/>
      <c r="C55" s="34" t="n"/>
      <c r="D55" s="35">
        <f>SUM(D5:D54)</f>
        <v/>
      </c>
      <c r="E55" s="35">
        <f>SUM(E5:E54)</f>
        <v/>
      </c>
      <c r="F55" s="36">
        <f>SUM(F5:F54)</f>
        <v/>
      </c>
      <c r="G55" s="37">
        <f>(D55-E55)/E55</f>
        <v/>
      </c>
      <c r="H55" s="38" t="n"/>
      <c r="I55" s="38" t="inlineStr"/>
      <c r="J55" s="38" t="inlineStr"/>
      <c r="K55" s="38" t="inlineStr"/>
      <c r="L55" s="38" t="inlineStr"/>
      <c r="M55" s="38" t="inlineStr"/>
      <c r="N55" s="38" t="inlineStr"/>
      <c r="O55" s="38" t="inlineStr"/>
      <c r="P55" s="38" t="inlineStr"/>
      <c r="Q55" s="38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2026-09-18T06:21:13Z</dcterms:created>
  <dcterms:modified xmlns:dcterms="http://purl.org/dc/terms/" xmlns:xsi="http://www.w3.org/2001/XMLSchema-instance" xsi:type="dcterms:W3CDTF">2026-09-18T06:21:14Z</dcterms:modified>
</cp:coreProperties>
</file>