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10" fillId="5" borderId="2" pivotButton="0" quotePrefix="0" xfId="0"/>
    <xf numFmtId="165" fontId="11" fillId="5" borderId="2" pivotButton="0" quotePrefix="0" xfId="0"/>
    <xf numFmtId="166" fontId="11" fillId="5" borderId="2" pivotButton="0" quotePrefix="0" xfId="0"/>
    <xf numFmtId="3" fontId="10" fillId="5" borderId="2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09:54:12 (09:54)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</row>
    <row r="5" ht="20" customHeight="1">
      <c r="A5" s="4" t="n">
        <v>1</v>
      </c>
      <c r="B5" s="5" t="inlineStr">
        <is>
          <t>10053130</t>
        </is>
      </c>
      <c r="C5" s="6" t="inlineStr">
        <is>
          <t>OZIVY 1MG 1CAN 3ML EMS</t>
        </is>
      </c>
      <c r="D5" s="7" t="n">
        <v>999</v>
      </c>
      <c r="E5" s="7" t="n">
        <v>4571.32</v>
      </c>
      <c r="F5" s="8" t="n">
        <v>-3572.32</v>
      </c>
      <c r="G5" s="9" t="n">
        <v>-0.7809999999999999</v>
      </c>
      <c r="H5" s="10" t="n">
        <v>155</v>
      </c>
      <c r="I5" s="11" t="n">
        <v>0.14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Moderado</t>
        </is>
      </c>
    </row>
    <row r="6" ht="20" customHeight="1">
      <c r="A6" s="15" t="n">
        <v>2</v>
      </c>
      <c r="B6" s="16" t="inlineStr">
        <is>
          <t>10050648</t>
        </is>
      </c>
      <c r="C6" s="17" t="inlineStr">
        <is>
          <t>POVIZTRA 1MG 3ML EUROFARMA</t>
        </is>
      </c>
      <c r="D6" s="18" t="n">
        <v>899</v>
      </c>
      <c r="E6" s="18" t="n">
        <v>2055.01</v>
      </c>
      <c r="F6" s="19" t="n">
        <v>-1156.01</v>
      </c>
      <c r="G6" s="20" t="n">
        <v>-0.5629999999999999</v>
      </c>
      <c r="H6" s="21" t="n">
        <v>56</v>
      </c>
      <c r="I6" s="22" t="n">
        <v>0.05</v>
      </c>
      <c r="J6" s="15" t="inlineStr">
        <is>
          <t>🚨 Ruptura Logística</t>
        </is>
      </c>
      <c r="K6" s="18" t="n">
        <v>988.22</v>
      </c>
      <c r="L6" s="23" t="inlineStr">
        <is>
          <t>PREÇO POPULAR</t>
        </is>
      </c>
      <c r="M6" s="18" t="n">
        <v>988.22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</row>
    <row r="7" ht="20" customHeight="1">
      <c r="A7" s="4" t="n">
        <v>3</v>
      </c>
      <c r="B7" s="5" t="inlineStr">
        <is>
          <t>10041262</t>
        </is>
      </c>
      <c r="C7" s="6" t="inlineStr">
        <is>
          <t>FR HUGGIES ROUPINHA ACOLCHOADA MAX XG 80</t>
        </is>
      </c>
      <c r="D7" s="7" t="n">
        <v>416.84</v>
      </c>
      <c r="E7" s="7" t="n">
        <v>1225.93</v>
      </c>
      <c r="F7" s="8" t="n">
        <v>-809.09</v>
      </c>
      <c r="G7" s="9" t="n">
        <v>-0.66</v>
      </c>
      <c r="H7" s="10" t="n">
        <v>14</v>
      </c>
      <c r="I7" s="11" t="n">
        <v>0.01</v>
      </c>
      <c r="J7" s="4" t="inlineStr">
        <is>
          <t>🚨 Ruptura Logística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Neutro</t>
        </is>
      </c>
    </row>
    <row r="8" ht="20" customHeight="1">
      <c r="A8" s="15" t="n">
        <v>4</v>
      </c>
      <c r="B8" s="16" t="inlineStr">
        <is>
          <t>10052534</t>
        </is>
      </c>
      <c r="C8" s="17" t="inlineStr">
        <is>
          <t>FR PAMPERS CONFORTSEC BAG MAX XG 86UN</t>
        </is>
      </c>
      <c r="D8" s="18" t="n">
        <v>0</v>
      </c>
      <c r="E8" s="18" t="n">
        <v>793.25</v>
      </c>
      <c r="F8" s="19" t="n">
        <v>-793.25</v>
      </c>
      <c r="G8" s="20" t="n">
        <v>-1</v>
      </c>
      <c r="H8" s="21" t="n">
        <v>289</v>
      </c>
      <c r="I8" s="22" t="n">
        <v>0.25</v>
      </c>
      <c r="J8" s="15" t="inlineStr">
        <is>
          <t>🚨 Ruptura Logística</t>
        </is>
      </c>
      <c r="K8" s="25" t="inlineStr"/>
      <c r="L8" s="23" t="inlineStr"/>
      <c r="M8" s="25" t="inlineStr"/>
      <c r="N8" s="26" t="inlineStr"/>
      <c r="O8" s="23" t="inlineStr">
        <is>
          <t>Não Monitorado</t>
        </is>
      </c>
      <c r="P8" s="23" t="inlineStr">
        <is>
          <t>Neutro</t>
        </is>
      </c>
    </row>
    <row r="9" ht="20" customHeight="1">
      <c r="A9" s="4" t="n">
        <v>5</v>
      </c>
      <c r="B9" s="5" t="inlineStr">
        <is>
          <t>10050440</t>
        </is>
      </c>
      <c r="C9" s="6" t="inlineStr">
        <is>
          <t>AMMY 4MG 72CP REV MANTECORP</t>
        </is>
      </c>
      <c r="D9" s="7" t="n">
        <v>0</v>
      </c>
      <c r="E9" s="7" t="n">
        <v>415.4</v>
      </c>
      <c r="F9" s="8" t="n">
        <v>-415.4</v>
      </c>
      <c r="G9" s="9" t="n">
        <v>-1</v>
      </c>
      <c r="H9" s="10" t="n">
        <v>9</v>
      </c>
      <c r="I9" s="11" t="n">
        <v>0.01</v>
      </c>
      <c r="J9" s="4" t="inlineStr">
        <is>
          <t>🚨 Ruptura Logística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Neutro</t>
        </is>
      </c>
    </row>
    <row r="10" ht="20" customHeight="1">
      <c r="A10" s="15" t="n">
        <v>6</v>
      </c>
      <c r="B10" s="16" t="inlineStr">
        <is>
          <t>10052535</t>
        </is>
      </c>
      <c r="C10" s="17" t="inlineStr">
        <is>
          <t>FR PAMPERS CONFORTSEC BAG MAX G 92UN</t>
        </is>
      </c>
      <c r="D10" s="18" t="n">
        <v>0</v>
      </c>
      <c r="E10" s="18" t="n">
        <v>414.85</v>
      </c>
      <c r="F10" s="19" t="n">
        <v>-414.85</v>
      </c>
      <c r="G10" s="20" t="n">
        <v>-1</v>
      </c>
      <c r="H10" s="21" t="n">
        <v>141</v>
      </c>
      <c r="I10" s="22" t="n">
        <v>0.12</v>
      </c>
      <c r="J10" s="15" t="inlineStr">
        <is>
          <t>🚨 Ruptura Logística</t>
        </is>
      </c>
      <c r="K10" s="25" t="inlineStr"/>
      <c r="L10" s="23" t="inlineStr"/>
      <c r="M10" s="25" t="inlineStr"/>
      <c r="N10" s="26" t="inlineStr"/>
      <c r="O10" s="23" t="inlineStr">
        <is>
          <t>Não Monitorado</t>
        </is>
      </c>
      <c r="P10" s="23" t="inlineStr">
        <is>
          <t>Neutro</t>
        </is>
      </c>
    </row>
    <row r="11" ht="20" customHeight="1">
      <c r="A11" s="4" t="n">
        <v>7</v>
      </c>
      <c r="B11" s="5" t="inlineStr">
        <is>
          <t>10028708</t>
        </is>
      </c>
      <c r="C11" s="6" t="inlineStr">
        <is>
          <t>FR SAO JOAO BABY BAG XXG 56UN</t>
        </is>
      </c>
      <c r="D11" s="7" t="n">
        <v>73.98999999999999</v>
      </c>
      <c r="E11" s="7" t="n">
        <v>480.27</v>
      </c>
      <c r="F11" s="8" t="n">
        <v>-406.28</v>
      </c>
      <c r="G11" s="9" t="n">
        <v>-0.846</v>
      </c>
      <c r="H11" s="10" t="n">
        <v>726</v>
      </c>
      <c r="I11" s="11" t="n">
        <v>0.63</v>
      </c>
      <c r="J11" s="4" t="inlineStr">
        <is>
          <t>🚨 Ruptura Logística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Neutro</t>
        </is>
      </c>
    </row>
    <row r="12" ht="20" customHeight="1">
      <c r="A12" s="15" t="n">
        <v>8</v>
      </c>
      <c r="B12" s="16" t="inlineStr">
        <is>
          <t>10102163</t>
        </is>
      </c>
      <c r="C12" s="17" t="inlineStr">
        <is>
          <t>QLAIRA 26CP+2CP REV BIOLAB</t>
        </is>
      </c>
      <c r="D12" s="18" t="n">
        <v>74.22</v>
      </c>
      <c r="E12" s="18" t="n">
        <v>452.46</v>
      </c>
      <c r="F12" s="19" t="n">
        <v>-378.24</v>
      </c>
      <c r="G12" s="20" t="n">
        <v>-0.836</v>
      </c>
      <c r="H12" s="21" t="n">
        <v>582</v>
      </c>
      <c r="I12" s="22" t="n">
        <v>0.51</v>
      </c>
      <c r="J12" s="15" t="inlineStr">
        <is>
          <t>⚠️ Duplo Detrator</t>
        </is>
      </c>
      <c r="K12" s="18" t="n">
        <v>74.22</v>
      </c>
      <c r="L12" s="23" t="inlineStr">
        <is>
          <t>PREÇO POPULAR</t>
        </is>
      </c>
      <c r="M12" s="18" t="n">
        <v>55.67</v>
      </c>
      <c r="N12" s="27" t="n">
        <v>0.333</v>
      </c>
      <c r="O12" s="23" t="inlineStr">
        <is>
          <t>São João Mais Cara</t>
        </is>
      </c>
      <c r="P12" s="23" t="inlineStr">
        <is>
          <t>Neutro</t>
        </is>
      </c>
    </row>
    <row r="13" ht="20" customHeight="1">
      <c r="A13" s="4" t="n">
        <v>9</v>
      </c>
      <c r="B13" s="5" t="inlineStr">
        <is>
          <t>10097312</t>
        </is>
      </c>
      <c r="C13" s="6" t="inlineStr">
        <is>
          <t>NESTOGENO 2 800G NESTLE</t>
        </is>
      </c>
      <c r="D13" s="7" t="n">
        <v>0</v>
      </c>
      <c r="E13" s="7" t="n">
        <v>339.25</v>
      </c>
      <c r="F13" s="8" t="n">
        <v>-339.25</v>
      </c>
      <c r="G13" s="9" t="n">
        <v>-1</v>
      </c>
      <c r="H13" s="10" t="n">
        <v>210</v>
      </c>
      <c r="I13" s="11" t="n">
        <v>0.18</v>
      </c>
      <c r="J13" s="4" t="inlineStr">
        <is>
          <t>⚠️ Duplo Detrator</t>
        </is>
      </c>
      <c r="K13" s="7" t="n">
        <v>67.98999999999999</v>
      </c>
      <c r="L13" s="13" t="inlineStr">
        <is>
          <t>DROGARAIA</t>
        </is>
      </c>
      <c r="M13" s="7" t="n">
        <v>61.06</v>
      </c>
      <c r="N13" s="28" t="n">
        <v>0.113</v>
      </c>
      <c r="O13" s="13" t="inlineStr">
        <is>
          <t>São João Mais Cara</t>
        </is>
      </c>
      <c r="P13" s="13" t="inlineStr">
        <is>
          <t>Neutro</t>
        </is>
      </c>
    </row>
    <row r="14" ht="20" customHeight="1">
      <c r="A14" s="15" t="n">
        <v>10</v>
      </c>
      <c r="B14" s="16" t="inlineStr">
        <is>
          <t>10052532</t>
        </is>
      </c>
      <c r="C14" s="17" t="inlineStr">
        <is>
          <t>FR PAMPERS CONFORTSEC BAG MAX XXXG 70UN</t>
        </is>
      </c>
      <c r="D14" s="18" t="n">
        <v>1103.21</v>
      </c>
      <c r="E14" s="18" t="n">
        <v>1429.94</v>
      </c>
      <c r="F14" s="19" t="n">
        <v>-326.73</v>
      </c>
      <c r="G14" s="20" t="n">
        <v>-0.228</v>
      </c>
      <c r="H14" s="21" t="n">
        <v>825</v>
      </c>
      <c r="I14" s="22" t="n">
        <v>0.72</v>
      </c>
      <c r="J14" s="15" t="inlineStr">
        <is>
          <t>🚨 Ruptura Logística</t>
        </is>
      </c>
      <c r="K14" s="25" t="inlineStr"/>
      <c r="L14" s="23" t="inlineStr"/>
      <c r="M14" s="25" t="inlineStr"/>
      <c r="N14" s="26" t="inlineStr"/>
      <c r="O14" s="23" t="inlineStr">
        <is>
          <t>Não Monitorado</t>
        </is>
      </c>
      <c r="P14" s="23" t="inlineStr">
        <is>
          <t>Neutro</t>
        </is>
      </c>
    </row>
    <row r="15" ht="20" customHeight="1">
      <c r="A15" s="4" t="n">
        <v>11</v>
      </c>
      <c r="B15" s="5" t="inlineStr">
        <is>
          <t>10006600</t>
        </is>
      </c>
      <c r="C15" s="6" t="inlineStr">
        <is>
          <t>LEITE NINHO 800G 1+PREBIO 20% DESC 2ªUN</t>
        </is>
      </c>
      <c r="D15" s="7" t="n">
        <v>0</v>
      </c>
      <c r="E15" s="7" t="n">
        <v>268.48</v>
      </c>
      <c r="F15" s="8" t="n">
        <v>-268.48</v>
      </c>
      <c r="G15" s="9" t="n">
        <v>-1</v>
      </c>
      <c r="H15" s="10" t="n">
        <v>54</v>
      </c>
      <c r="I15" s="11" t="n">
        <v>0.05</v>
      </c>
      <c r="J15" s="4" t="inlineStr">
        <is>
          <t>🚨 Ruptura Logística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Neutro</t>
        </is>
      </c>
    </row>
    <row r="16" ht="20" customHeight="1">
      <c r="A16" s="15" t="n">
        <v>12</v>
      </c>
      <c r="B16" s="16" t="inlineStr">
        <is>
          <t>10049738</t>
        </is>
      </c>
      <c r="C16" s="17" t="inlineStr">
        <is>
          <t>OLIRE 6MG/ML 3ML 3APLIC INJ EMS</t>
        </is>
      </c>
      <c r="D16" s="18" t="n">
        <v>0</v>
      </c>
      <c r="E16" s="18" t="n">
        <v>236.11</v>
      </c>
      <c r="F16" s="19" t="n">
        <v>-236.11</v>
      </c>
      <c r="G16" s="20" t="n">
        <v>-1</v>
      </c>
      <c r="H16" s="21" t="n">
        <v>11</v>
      </c>
      <c r="I16" s="22" t="n">
        <v>0.01</v>
      </c>
      <c r="J16" s="15" t="inlineStr">
        <is>
          <t>🚨 Ruptura Logística</t>
        </is>
      </c>
      <c r="K16" s="18" t="n">
        <v>866.24</v>
      </c>
      <c r="L16" s="23" t="inlineStr">
        <is>
          <t>PANVEL</t>
        </is>
      </c>
      <c r="M16" s="18" t="n">
        <v>866.24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169.8</v>
      </c>
      <c r="E17" s="7" t="n">
        <v>359.35</v>
      </c>
      <c r="F17" s="8" t="n">
        <v>-189.55</v>
      </c>
      <c r="G17" s="9" t="n">
        <v>-0.527</v>
      </c>
      <c r="H17" s="10" t="n">
        <v>309</v>
      </c>
      <c r="I17" s="11" t="n">
        <v>0.27</v>
      </c>
      <c r="J17" s="4" t="inlineStr">
        <is>
          <t>⚠️ Duplo Detrator</t>
        </is>
      </c>
      <c r="K17" s="7" t="n">
        <v>84.90000000000001</v>
      </c>
      <c r="L17" s="13" t="inlineStr">
        <is>
          <t>PREÇO POPULAR</t>
        </is>
      </c>
      <c r="M17" s="7" t="n">
        <v>72.90000000000001</v>
      </c>
      <c r="N17" s="28" t="n">
        <v>0.165</v>
      </c>
      <c r="O17" s="13" t="inlineStr">
        <is>
          <t>São João Mais Cara</t>
        </is>
      </c>
      <c r="P17" s="13" t="inlineStr">
        <is>
          <t>Neutro</t>
        </is>
      </c>
    </row>
    <row r="18" ht="20" customHeight="1">
      <c r="A18" s="15" t="n">
        <v>14</v>
      </c>
      <c r="B18" s="16" t="inlineStr">
        <is>
          <t>100013179</t>
        </is>
      </c>
      <c r="C18" s="17" t="inlineStr">
        <is>
          <t>UTROGESTAN 200MG 42CAP BESINS</t>
        </is>
      </c>
      <c r="D18" s="18" t="n">
        <v>0</v>
      </c>
      <c r="E18" s="18" t="n">
        <v>188.89</v>
      </c>
      <c r="F18" s="19" t="n">
        <v>-188.89</v>
      </c>
      <c r="G18" s="20" t="n">
        <v>-1</v>
      </c>
      <c r="H18" s="21" t="n">
        <v>28</v>
      </c>
      <c r="I18" s="22" t="n">
        <v>0.02</v>
      </c>
      <c r="J18" s="15" t="inlineStr">
        <is>
          <t>⚠️ Duplo Detrator</t>
        </is>
      </c>
      <c r="K18" s="18" t="n">
        <v>246.91</v>
      </c>
      <c r="L18" s="23" t="inlineStr">
        <is>
          <t>NISSEI</t>
        </is>
      </c>
      <c r="M18" s="18" t="n">
        <v>209.07</v>
      </c>
      <c r="N18" s="27" t="n">
        <v>0.181</v>
      </c>
      <c r="O18" s="23" t="inlineStr">
        <is>
          <t>São João Mais Cara</t>
        </is>
      </c>
      <c r="P18" s="23" t="inlineStr">
        <is>
          <t>Neutro</t>
        </is>
      </c>
    </row>
    <row r="19" ht="20" customHeight="1">
      <c r="A19" s="4" t="n">
        <v>15</v>
      </c>
      <c r="B19" s="5" t="inlineStr">
        <is>
          <t>10105170</t>
        </is>
      </c>
      <c r="C19" s="6" t="inlineStr">
        <is>
          <t>TOALHAS UMED NATURAL BABY LV100 PG80</t>
        </is>
      </c>
      <c r="D19" s="7" t="n">
        <v>212.99</v>
      </c>
      <c r="E19" s="7" t="n">
        <v>394.78</v>
      </c>
      <c r="F19" s="8" t="n">
        <v>-181.79</v>
      </c>
      <c r="G19" s="9" t="n">
        <v>-0.46</v>
      </c>
      <c r="H19" s="10" t="n">
        <v>4975</v>
      </c>
      <c r="I19" s="29" t="n">
        <v>4.34</v>
      </c>
      <c r="J19" s="4" t="inlineStr">
        <is>
          <t>🏷️ Preço Desalinhado</t>
        </is>
      </c>
      <c r="K19" s="7" t="n">
        <v>14.99</v>
      </c>
      <c r="L19" s="13" t="inlineStr">
        <is>
          <t>PREÇO POPULAR</t>
        </is>
      </c>
      <c r="M19" s="7" t="n">
        <v>10.9</v>
      </c>
      <c r="N19" s="28" t="n">
        <v>0.375</v>
      </c>
      <c r="O19" s="13" t="inlineStr">
        <is>
          <t>São João Mais Cara</t>
        </is>
      </c>
      <c r="P19" s="13" t="inlineStr">
        <is>
          <t>Neutro</t>
        </is>
      </c>
    </row>
    <row r="20" ht="20" customHeight="1">
      <c r="A20" s="15" t="n">
        <v>16</v>
      </c>
      <c r="B20" s="16" t="inlineStr">
        <is>
          <t>8277</t>
        </is>
      </c>
      <c r="C20" s="17" t="inlineStr">
        <is>
          <t>SYSTEN CONTI 8 ADESIVOS THERAMEX</t>
        </is>
      </c>
      <c r="D20" s="18" t="n">
        <v>0</v>
      </c>
      <c r="E20" s="18" t="n">
        <v>179.92</v>
      </c>
      <c r="F20" s="19" t="n">
        <v>-179.92</v>
      </c>
      <c r="G20" s="20" t="n">
        <v>-1</v>
      </c>
      <c r="H20" s="21" t="n">
        <v>72</v>
      </c>
      <c r="I20" s="22" t="n">
        <v>0.06</v>
      </c>
      <c r="J20" s="15" t="inlineStr">
        <is>
          <t>⚠️ Duplo Detrator</t>
        </is>
      </c>
      <c r="K20" s="18" t="n">
        <v>170.87</v>
      </c>
      <c r="L20" s="23" t="inlineStr">
        <is>
          <t>DROGARAIA</t>
        </is>
      </c>
      <c r="M20" s="18" t="n">
        <v>125.98</v>
      </c>
      <c r="N20" s="27" t="n">
        <v>0.356</v>
      </c>
      <c r="O20" s="23" t="inlineStr">
        <is>
          <t>São João Mais Cara</t>
        </is>
      </c>
      <c r="P20" s="23" t="inlineStr">
        <is>
          <t>Neutro</t>
        </is>
      </c>
    </row>
    <row r="21" ht="20" customHeight="1">
      <c r="A21" s="4" t="n">
        <v>17</v>
      </c>
      <c r="B21" s="5" t="inlineStr">
        <is>
          <t>10041842</t>
        </is>
      </c>
      <c r="C21" s="6" t="inlineStr">
        <is>
          <t>TOALHAS UMED PURO AMOR PAC 500TOALHAS PREMIUM</t>
        </is>
      </c>
      <c r="D21" s="7" t="n">
        <v>174.97</v>
      </c>
      <c r="E21" s="7" t="n">
        <v>348.15</v>
      </c>
      <c r="F21" s="8" t="n">
        <v>-173.18</v>
      </c>
      <c r="G21" s="9" t="n">
        <v>-0.4970000000000001</v>
      </c>
      <c r="H21" s="10" t="n">
        <v>328</v>
      </c>
      <c r="I21" s="11" t="n">
        <v>0.29</v>
      </c>
      <c r="J21" s="4" t="inlineStr">
        <is>
          <t>🚨 Ruptura Logística</t>
        </is>
      </c>
      <c r="K21" s="7" t="n">
        <v>59.99</v>
      </c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Neutro</t>
        </is>
      </c>
    </row>
    <row r="22" ht="20" customHeight="1">
      <c r="A22" s="15" t="n">
        <v>18</v>
      </c>
      <c r="B22" s="16" t="inlineStr">
        <is>
          <t>10047543</t>
        </is>
      </c>
      <c r="C22" s="17" t="inlineStr">
        <is>
          <t>DULOXETINA 60MG 60CAP GEN EMS (C1)</t>
        </is>
      </c>
      <c r="D22" s="18" t="n">
        <v>0</v>
      </c>
      <c r="E22" s="18" t="n">
        <v>171.54</v>
      </c>
      <c r="F22" s="19" t="n">
        <v>-171.54</v>
      </c>
      <c r="G22" s="20" t="n">
        <v>-1</v>
      </c>
      <c r="H22" s="21" t="n">
        <v>120</v>
      </c>
      <c r="I22" s="22" t="n">
        <v>0.1</v>
      </c>
      <c r="J22" s="15" t="inlineStr">
        <is>
          <t>⚠️ Duplo Detrator</t>
        </is>
      </c>
      <c r="K22" s="18" t="n">
        <v>162.69</v>
      </c>
      <c r="L22" s="23" t="inlineStr">
        <is>
          <t>PANVEL</t>
        </is>
      </c>
      <c r="M22" s="18" t="n">
        <v>154.99</v>
      </c>
      <c r="N22" s="27" t="n">
        <v>0.05</v>
      </c>
      <c r="O22" s="23" t="inlineStr">
        <is>
          <t>São João Mais Cara</t>
        </is>
      </c>
      <c r="P22" s="23" t="inlineStr">
        <is>
          <t>Neutro</t>
        </is>
      </c>
    </row>
    <row r="23" ht="20" customHeight="1">
      <c r="A23" s="4" t="n">
        <v>19</v>
      </c>
      <c r="B23" s="5" t="inlineStr">
        <is>
          <t>10052533</t>
        </is>
      </c>
      <c r="C23" s="6" t="inlineStr">
        <is>
          <t>FR PAMPERS CONFORTSEC BAG MAX XXG 82UN</t>
        </is>
      </c>
      <c r="D23" s="7" t="n">
        <v>463.6</v>
      </c>
      <c r="E23" s="7" t="n">
        <v>631.95</v>
      </c>
      <c r="F23" s="8" t="n">
        <v>-168.35</v>
      </c>
      <c r="G23" s="9" t="n">
        <v>-0.266</v>
      </c>
      <c r="H23" s="10" t="n">
        <v>540</v>
      </c>
      <c r="I23" s="11" t="n">
        <v>0.47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Neutro</t>
        </is>
      </c>
    </row>
    <row r="24" ht="20" customHeight="1">
      <c r="A24" s="15" t="n">
        <v>20</v>
      </c>
      <c r="B24" s="16" t="inlineStr">
        <is>
          <t>10039205</t>
        </is>
      </c>
      <c r="C24" s="17" t="inlineStr">
        <is>
          <t>SERUM CORP DOVE 380ML NIACINAMIDA</t>
        </is>
      </c>
      <c r="D24" s="18" t="n">
        <v>0</v>
      </c>
      <c r="E24" s="18" t="n">
        <v>167.9</v>
      </c>
      <c r="F24" s="19" t="n">
        <v>-167.9</v>
      </c>
      <c r="G24" s="20" t="n">
        <v>-1</v>
      </c>
      <c r="H24" s="21" t="n">
        <v>120</v>
      </c>
      <c r="I24" s="22" t="n">
        <v>0.1</v>
      </c>
      <c r="J24" s="15" t="inlineStr">
        <is>
          <t>🚨 Ruptura Logística</t>
        </is>
      </c>
      <c r="K24" s="25" t="inlineStr"/>
      <c r="L24" s="23" t="inlineStr">
        <is>
          <t>AMAZON</t>
        </is>
      </c>
      <c r="M24" s="18" t="n">
        <v>29.89</v>
      </c>
      <c r="N24" s="26" t="inlineStr"/>
      <c r="O24" s="23" t="inlineStr">
        <is>
          <t>Não Monitorado</t>
        </is>
      </c>
      <c r="P24" s="23" t="inlineStr">
        <is>
          <t>Neutro</t>
        </is>
      </c>
    </row>
    <row r="25" ht="20" customHeight="1">
      <c r="A25" s="4" t="n">
        <v>21</v>
      </c>
      <c r="B25" s="5" t="inlineStr">
        <is>
          <t>10028706</t>
        </is>
      </c>
      <c r="C25" s="6" t="inlineStr">
        <is>
          <t>FR SAO JOAO BABY BAG XG 58UN</t>
        </is>
      </c>
      <c r="D25" s="7" t="n">
        <v>73.98999999999999</v>
      </c>
      <c r="E25" s="7" t="n">
        <v>241.35</v>
      </c>
      <c r="F25" s="8" t="n">
        <v>-167.36</v>
      </c>
      <c r="G25" s="9" t="n">
        <v>-0.6929999999999999</v>
      </c>
      <c r="H25" s="10" t="n">
        <v>457</v>
      </c>
      <c r="I25" s="11" t="n">
        <v>0.4</v>
      </c>
      <c r="J25" s="4" t="inlineStr">
        <is>
          <t>🚨 Ruptura Logística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Neutro</t>
        </is>
      </c>
    </row>
    <row r="26" ht="20" customHeight="1">
      <c r="A26" s="15" t="n">
        <v>22</v>
      </c>
      <c r="B26" s="16" t="inlineStr">
        <is>
          <t>10051318</t>
        </is>
      </c>
      <c r="C26" s="17" t="inlineStr">
        <is>
          <t>DAPAGLIFLOZINA 10MG 30CP GEN EMS</t>
        </is>
      </c>
      <c r="D26" s="18" t="n">
        <v>87.98999999999999</v>
      </c>
      <c r="E26" s="18" t="n">
        <v>240.86</v>
      </c>
      <c r="F26" s="19" t="n">
        <v>-152.87</v>
      </c>
      <c r="G26" s="20" t="n">
        <v>-0.635</v>
      </c>
      <c r="H26" s="21" t="n">
        <v>5067</v>
      </c>
      <c r="I26" s="30" t="n">
        <v>4.42</v>
      </c>
      <c r="J26" s="15" t="inlineStr">
        <is>
          <t>📉 Demanda Normal</t>
        </is>
      </c>
      <c r="K26" s="25" t="inlineStr"/>
      <c r="L26" s="23" t="inlineStr"/>
      <c r="M26" s="25" t="inlineStr"/>
      <c r="N26" s="26" t="inlineStr"/>
      <c r="O26" s="23" t="inlineStr">
        <is>
          <t>Não Monitorado</t>
        </is>
      </c>
      <c r="P26" s="23" t="inlineStr">
        <is>
          <t>Neutro</t>
        </is>
      </c>
    </row>
    <row r="27" ht="20" customHeight="1">
      <c r="A27" s="4" t="n">
        <v>23</v>
      </c>
      <c r="B27" s="5" t="inlineStr">
        <is>
          <t>10099263</t>
        </is>
      </c>
      <c r="C27" s="6" t="inlineStr">
        <is>
          <t>VENLAFAXINA 150MG 30CAP GEN EMS (C1)</t>
        </is>
      </c>
      <c r="D27" s="7" t="n">
        <v>0</v>
      </c>
      <c r="E27" s="7" t="n">
        <v>146.86</v>
      </c>
      <c r="F27" s="8" t="n">
        <v>-146.86</v>
      </c>
      <c r="G27" s="9" t="n">
        <v>-1</v>
      </c>
      <c r="H27" s="10" t="n">
        <v>71</v>
      </c>
      <c r="I27" s="11" t="n">
        <v>0.06</v>
      </c>
      <c r="J27" s="4" t="inlineStr">
        <is>
          <t>🚨 Ruptura Logística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Neutro</t>
        </is>
      </c>
    </row>
    <row r="28" ht="20" customHeight="1">
      <c r="A28" s="15" t="n">
        <v>24</v>
      </c>
      <c r="B28" s="16" t="inlineStr">
        <is>
          <t>10021286</t>
        </is>
      </c>
      <c r="C28" s="17" t="inlineStr">
        <is>
          <t>TRELEGY 100+62,5+25MG 30DOSES GSK</t>
        </is>
      </c>
      <c r="D28" s="18" t="n">
        <v>0</v>
      </c>
      <c r="E28" s="18" t="n">
        <v>146.68</v>
      </c>
      <c r="F28" s="19" t="n">
        <v>-146.68</v>
      </c>
      <c r="G28" s="20" t="n">
        <v>-1</v>
      </c>
      <c r="H28" s="21" t="n">
        <v>12</v>
      </c>
      <c r="I28" s="22" t="n">
        <v>0.01</v>
      </c>
      <c r="J28" s="15" t="inlineStr">
        <is>
          <t>🚨 Ruptura Logística</t>
        </is>
      </c>
      <c r="K28" s="25" t="inlineStr"/>
      <c r="L28" s="23" t="inlineStr"/>
      <c r="M28" s="25" t="inlineStr"/>
      <c r="N28" s="26" t="inlineStr"/>
      <c r="O28" s="23" t="inlineStr">
        <is>
          <t>Não Monitorado</t>
        </is>
      </c>
      <c r="P28" s="23" t="inlineStr">
        <is>
          <t>Neutro</t>
        </is>
      </c>
    </row>
    <row r="29" ht="20" customHeight="1">
      <c r="A29" s="4" t="n">
        <v>25</v>
      </c>
      <c r="B29" s="5" t="inlineStr">
        <is>
          <t>10098096</t>
        </is>
      </c>
      <c r="C29" s="6" t="inlineStr">
        <is>
          <t>FR BIGFRAL DERMA PLUS ADULTO NOTURNA G 7UN</t>
        </is>
      </c>
      <c r="D29" s="7" t="n">
        <v>0</v>
      </c>
      <c r="E29" s="7" t="n">
        <v>140.83</v>
      </c>
      <c r="F29" s="8" t="n">
        <v>-140.83</v>
      </c>
      <c r="G29" s="9" t="n">
        <v>-1</v>
      </c>
      <c r="H29" s="10" t="n">
        <v>60</v>
      </c>
      <c r="I29" s="11" t="n">
        <v>0.05</v>
      </c>
      <c r="J29" s="4" t="inlineStr">
        <is>
          <t>⚠️ Duplo Detrator</t>
        </is>
      </c>
      <c r="K29" s="7" t="n">
        <v>30.99</v>
      </c>
      <c r="L29" s="13" t="inlineStr">
        <is>
          <t>NISSEI</t>
        </is>
      </c>
      <c r="M29" s="7" t="n">
        <v>24.9</v>
      </c>
      <c r="N29" s="28" t="n">
        <v>0.245</v>
      </c>
      <c r="O29" s="13" t="inlineStr">
        <is>
          <t>São João Mais Cara</t>
        </is>
      </c>
      <c r="P29" s="13" t="inlineStr">
        <is>
          <t>Neutro</t>
        </is>
      </c>
    </row>
    <row r="30" ht="20" customHeight="1">
      <c r="A30" s="15" t="n">
        <v>26</v>
      </c>
      <c r="B30" s="16" t="inlineStr">
        <is>
          <t>10028705</t>
        </is>
      </c>
      <c r="C30" s="17" t="inlineStr">
        <is>
          <t>FR SAO JOAO BABY BAG G 60UN</t>
        </is>
      </c>
      <c r="D30" s="18" t="n">
        <v>0</v>
      </c>
      <c r="E30" s="18" t="n">
        <v>140.42</v>
      </c>
      <c r="F30" s="19" t="n">
        <v>-140.42</v>
      </c>
      <c r="G30" s="20" t="n">
        <v>-1</v>
      </c>
      <c r="H30" s="21" t="n">
        <v>359</v>
      </c>
      <c r="I30" s="22" t="n">
        <v>0.31</v>
      </c>
      <c r="J30" s="15" t="inlineStr">
        <is>
          <t>🚨 Ruptura Logística</t>
        </is>
      </c>
      <c r="K30" s="25" t="inlineStr"/>
      <c r="L30" s="23" t="inlineStr"/>
      <c r="M30" s="25" t="inlineStr"/>
      <c r="N30" s="26" t="inlineStr"/>
      <c r="O30" s="23" t="inlineStr">
        <is>
          <t>Não Monitorado</t>
        </is>
      </c>
      <c r="P30" s="23" t="inlineStr">
        <is>
          <t>Neutro</t>
        </is>
      </c>
    </row>
    <row r="31" ht="20" customHeight="1">
      <c r="A31" s="4" t="n">
        <v>27</v>
      </c>
      <c r="B31" s="5" t="inlineStr">
        <is>
          <t>10040659</t>
        </is>
      </c>
      <c r="C31" s="6" t="inlineStr">
        <is>
          <t>KIT DOVE SH 350+COND 150ML BOND INTENSE REPAIR</t>
        </is>
      </c>
      <c r="D31" s="7" t="n">
        <v>119.6</v>
      </c>
      <c r="E31" s="7" t="n">
        <v>259.07</v>
      </c>
      <c r="F31" s="8" t="n">
        <v>-139.47</v>
      </c>
      <c r="G31" s="9" t="n">
        <v>-0.5379999999999999</v>
      </c>
      <c r="H31" s="10" t="n">
        <v>252</v>
      </c>
      <c r="I31" s="11" t="n">
        <v>0.22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</row>
    <row r="32" ht="20" customHeight="1">
      <c r="A32" s="15" t="n">
        <v>28</v>
      </c>
      <c r="B32" s="16" t="inlineStr">
        <is>
          <t>10043691</t>
        </is>
      </c>
      <c r="C32" s="17" t="inlineStr">
        <is>
          <t>BUP XL 150MG 60CP REV PROL 24H EUROFARMA (C1)</t>
        </is>
      </c>
      <c r="D32" s="18" t="n">
        <v>0</v>
      </c>
      <c r="E32" s="18" t="n">
        <v>135.21</v>
      </c>
      <c r="F32" s="19" t="n">
        <v>-135.21</v>
      </c>
      <c r="G32" s="20" t="n">
        <v>-1</v>
      </c>
      <c r="H32" s="21" t="n">
        <v>30</v>
      </c>
      <c r="I32" s="22" t="n">
        <v>0.03</v>
      </c>
      <c r="J32" s="15" t="inlineStr">
        <is>
          <t>⚠️ Duplo Detrator</t>
        </is>
      </c>
      <c r="K32" s="18" t="n">
        <v>182.2</v>
      </c>
      <c r="L32" s="23" t="inlineStr">
        <is>
          <t>DROGARAIA</t>
        </is>
      </c>
      <c r="M32" s="18" t="n">
        <v>152</v>
      </c>
      <c r="N32" s="27" t="n">
        <v>0.199</v>
      </c>
      <c r="O32" s="23" t="inlineStr">
        <is>
          <t>São João Mais Cara</t>
        </is>
      </c>
      <c r="P32" s="23" t="inlineStr">
        <is>
          <t>Neutro</t>
        </is>
      </c>
    </row>
    <row r="33" ht="20" customHeight="1">
      <c r="A33" s="4" t="n">
        <v>29</v>
      </c>
      <c r="B33" s="5" t="inlineStr">
        <is>
          <t>10033463</t>
        </is>
      </c>
      <c r="C33" s="6" t="inlineStr">
        <is>
          <t>FR BABYSEC ULTRA HIPER XG 56UN</t>
        </is>
      </c>
      <c r="D33" s="7" t="n">
        <v>480.66</v>
      </c>
      <c r="E33" s="7" t="n">
        <v>611.5700000000001</v>
      </c>
      <c r="F33" s="8" t="n">
        <v>-130.91</v>
      </c>
      <c r="G33" s="9" t="n">
        <v>-0.214</v>
      </c>
      <c r="H33" s="10" t="n">
        <v>370</v>
      </c>
      <c r="I33" s="11" t="n">
        <v>0.32</v>
      </c>
      <c r="J33" s="4" t="inlineStr">
        <is>
          <t>🚨 Ruptura Logística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Neutro</t>
        </is>
      </c>
    </row>
    <row r="34" ht="20" customHeight="1">
      <c r="A34" s="15" t="n">
        <v>30</v>
      </c>
      <c r="B34" s="16" t="inlineStr">
        <is>
          <t>1006900</t>
        </is>
      </c>
      <c r="C34" s="17" t="inlineStr">
        <is>
          <t>NISTATINA+OXID ZINCO 60G GEN EMS</t>
        </is>
      </c>
      <c r="D34" s="18" t="n">
        <v>21.99</v>
      </c>
      <c r="E34" s="18" t="n">
        <v>143.2</v>
      </c>
      <c r="F34" s="19" t="n">
        <v>-121.21</v>
      </c>
      <c r="G34" s="20" t="n">
        <v>-0.846</v>
      </c>
      <c r="H34" s="21" t="n">
        <v>1361</v>
      </c>
      <c r="I34" s="22" t="n">
        <v>1.19</v>
      </c>
      <c r="J34" s="15" t="inlineStr">
        <is>
          <t>🚨 Ruptura Logística</t>
        </is>
      </c>
      <c r="K34" s="25" t="inlineStr"/>
      <c r="L34" s="23" t="inlineStr"/>
      <c r="M34" s="25" t="inlineStr"/>
      <c r="N34" s="26" t="inlineStr"/>
      <c r="O34" s="23" t="inlineStr">
        <is>
          <t>Não Monitorado</t>
        </is>
      </c>
      <c r="P34" s="23" t="inlineStr">
        <is>
          <t>Neutro</t>
        </is>
      </c>
    </row>
    <row r="35" ht="20" customHeight="1">
      <c r="A35" s="4" t="n">
        <v>31</v>
      </c>
      <c r="B35" s="5" t="inlineStr">
        <is>
          <t>10033462</t>
        </is>
      </c>
      <c r="C35" s="6" t="inlineStr">
        <is>
          <t>FR BABYSEC ULTRA HIPER M 68UN</t>
        </is>
      </c>
      <c r="D35" s="7" t="n">
        <v>0</v>
      </c>
      <c r="E35" s="7" t="n">
        <v>117.38</v>
      </c>
      <c r="F35" s="8" t="n">
        <v>-117.38</v>
      </c>
      <c r="G35" s="9" t="n">
        <v>-1</v>
      </c>
      <c r="H35" s="10" t="n">
        <v>62</v>
      </c>
      <c r="I35" s="11" t="n">
        <v>0.05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Neutro</t>
        </is>
      </c>
    </row>
    <row r="36" ht="20" customHeight="1">
      <c r="A36" s="15" t="n">
        <v>32</v>
      </c>
      <c r="B36" s="16" t="inlineStr">
        <is>
          <t>1008501</t>
        </is>
      </c>
      <c r="C36" s="17" t="inlineStr">
        <is>
          <t>KALOBA 20ML GOTAS HERBARIUM</t>
        </is>
      </c>
      <c r="D36" s="18" t="n">
        <v>0</v>
      </c>
      <c r="E36" s="18" t="n">
        <v>116.32</v>
      </c>
      <c r="F36" s="19" t="n">
        <v>-116.32</v>
      </c>
      <c r="G36" s="20" t="n">
        <v>-1</v>
      </c>
      <c r="H36" s="21" t="n">
        <v>39</v>
      </c>
      <c r="I36" s="22" t="n">
        <v>0.03</v>
      </c>
      <c r="J36" s="15" t="inlineStr">
        <is>
          <t>🚨 Ruptura Logística</t>
        </is>
      </c>
      <c r="K36" s="25" t="inlineStr"/>
      <c r="L36" s="23" t="inlineStr"/>
      <c r="M36" s="25" t="inlineStr"/>
      <c r="N36" s="26" t="inlineStr"/>
      <c r="O36" s="23" t="inlineStr">
        <is>
          <t>Não Monitorado</t>
        </is>
      </c>
      <c r="P36" s="23" t="inlineStr">
        <is>
          <t>Neutro</t>
        </is>
      </c>
    </row>
    <row r="37" ht="20" customHeight="1">
      <c r="A37" s="4" t="n">
        <v>33</v>
      </c>
      <c r="B37" s="5" t="inlineStr">
        <is>
          <t>10049083</t>
        </is>
      </c>
      <c r="C37" s="6" t="inlineStr">
        <is>
          <t>KIT DOVE SH 350ML+COND 175ML RECONSTRUCAO+AMINOACIDOS</t>
        </is>
      </c>
      <c r="D37" s="7" t="n">
        <v>59.8</v>
      </c>
      <c r="E37" s="7" t="n">
        <v>174.08</v>
      </c>
      <c r="F37" s="8" t="n">
        <v>-114.28</v>
      </c>
      <c r="G37" s="9" t="n">
        <v>-0.6559999999999999</v>
      </c>
      <c r="H37" s="10" t="n">
        <v>161</v>
      </c>
      <c r="I37" s="11" t="n">
        <v>0.14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</row>
    <row r="38" ht="20" customHeight="1">
      <c r="A38" s="15" t="n">
        <v>34</v>
      </c>
      <c r="B38" s="16" t="inlineStr">
        <is>
          <t>10046212</t>
        </is>
      </c>
      <c r="C38" s="17" t="inlineStr">
        <is>
          <t>PAPEL HIG FLORAX PREMIUM FOLHA DUPLA 20M</t>
        </is>
      </c>
      <c r="D38" s="18" t="n">
        <v>83.93000000000001</v>
      </c>
      <c r="E38" s="18" t="n">
        <v>196.55</v>
      </c>
      <c r="F38" s="19" t="n">
        <v>-112.62</v>
      </c>
      <c r="G38" s="20" t="n">
        <v>-0.573</v>
      </c>
      <c r="H38" s="21" t="n">
        <v>25982</v>
      </c>
      <c r="I38" s="30" t="n">
        <v>22.65</v>
      </c>
      <c r="J38" s="15" t="inlineStr">
        <is>
          <t>📉 Demanda Normal</t>
        </is>
      </c>
      <c r="K38" s="18" t="n">
        <v>11.99</v>
      </c>
      <c r="L38" s="23" t="inlineStr"/>
      <c r="M38" s="25" t="inlineStr"/>
      <c r="N38" s="26" t="inlineStr"/>
      <c r="O38" s="23" t="inlineStr">
        <is>
          <t>Não Monitorado</t>
        </is>
      </c>
      <c r="P38" s="23" t="inlineStr">
        <is>
          <t>Neutro</t>
        </is>
      </c>
    </row>
    <row r="39" ht="20" customHeight="1">
      <c r="A39" s="4" t="n">
        <v>35</v>
      </c>
      <c r="B39" s="5" t="inlineStr">
        <is>
          <t>10030229</t>
        </is>
      </c>
      <c r="C39" s="6" t="inlineStr">
        <is>
          <t>DR GOOD FINI MELATONINA 60GOMAS</t>
        </is>
      </c>
      <c r="D39" s="7" t="n">
        <v>0</v>
      </c>
      <c r="E39" s="7" t="n">
        <v>107.93</v>
      </c>
      <c r="F39" s="8" t="n">
        <v>-107.93</v>
      </c>
      <c r="G39" s="9" t="n">
        <v>-1</v>
      </c>
      <c r="H39" s="10" t="n">
        <v>16</v>
      </c>
      <c r="I39" s="11" t="n">
        <v>0.01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</row>
    <row r="40" ht="20" customHeight="1">
      <c r="A40" s="15" t="n">
        <v>36</v>
      </c>
      <c r="B40" s="16" t="inlineStr">
        <is>
          <t>6051</t>
        </is>
      </c>
      <c r="C40" s="17" t="inlineStr">
        <is>
          <t>HASTES J&amp;J 75UN COTONETES</t>
        </is>
      </c>
      <c r="D40" s="18" t="n">
        <v>18.18</v>
      </c>
      <c r="E40" s="18" t="n">
        <v>125.05</v>
      </c>
      <c r="F40" s="19" t="n">
        <v>-106.87</v>
      </c>
      <c r="G40" s="20" t="n">
        <v>-0.855</v>
      </c>
      <c r="H40" s="21" t="n">
        <v>160</v>
      </c>
      <c r="I40" s="22" t="n">
        <v>0.14</v>
      </c>
      <c r="J40" s="15" t="inlineStr">
        <is>
          <t>🚨 Ruptura Logística</t>
        </is>
      </c>
      <c r="K40" s="25" t="inlineStr"/>
      <c r="L40" s="23" t="inlineStr">
        <is>
          <t>AMAZON</t>
        </is>
      </c>
      <c r="M40" s="18" t="n">
        <v>5.98</v>
      </c>
      <c r="N40" s="26" t="inlineStr"/>
      <c r="O40" s="23" t="inlineStr">
        <is>
          <t>Não Monitorado</t>
        </is>
      </c>
      <c r="P40" s="23" t="inlineStr">
        <is>
          <t>Neutro</t>
        </is>
      </c>
    </row>
    <row r="41" ht="20" customHeight="1">
      <c r="A41" s="4" t="n">
        <v>37</v>
      </c>
      <c r="B41" s="5" t="inlineStr">
        <is>
          <t>100012568</t>
        </is>
      </c>
      <c r="C41" s="6" t="inlineStr">
        <is>
          <t>DUTASTERIDA 0,5MG 30CAP GEN BIOSINTETICA</t>
        </is>
      </c>
      <c r="D41" s="7" t="n">
        <v>0</v>
      </c>
      <c r="E41" s="7" t="n">
        <v>105.26</v>
      </c>
      <c r="F41" s="8" t="n">
        <v>-105.26</v>
      </c>
      <c r="G41" s="9" t="n">
        <v>-1</v>
      </c>
      <c r="H41" s="10" t="n">
        <v>16</v>
      </c>
      <c r="I41" s="11" t="n">
        <v>0.01</v>
      </c>
      <c r="J41" s="4" t="inlineStr">
        <is>
          <t>🚨 Ruptura Logística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</row>
    <row r="42" ht="20" customHeight="1">
      <c r="A42" s="15" t="n">
        <v>38</v>
      </c>
      <c r="B42" s="16" t="inlineStr">
        <is>
          <t>10007354</t>
        </is>
      </c>
      <c r="C42" s="17" t="inlineStr">
        <is>
          <t>ITRACONAZOL 100MG 15CAP GEN GEOLAB</t>
        </is>
      </c>
      <c r="D42" s="18" t="n">
        <v>49.9</v>
      </c>
      <c r="E42" s="18" t="n">
        <v>154.92</v>
      </c>
      <c r="F42" s="19" t="n">
        <v>-105.02</v>
      </c>
      <c r="G42" s="20" t="n">
        <v>-0.6779999999999999</v>
      </c>
      <c r="H42" s="21" t="n">
        <v>15</v>
      </c>
      <c r="I42" s="22" t="n">
        <v>0.01</v>
      </c>
      <c r="J42" s="15" t="inlineStr">
        <is>
          <t>🚨 Ruptura Logística</t>
        </is>
      </c>
      <c r="K42" s="18" t="n">
        <v>49.9</v>
      </c>
      <c r="L42" s="23" t="inlineStr">
        <is>
          <t>DROGARAIA</t>
        </is>
      </c>
      <c r="M42" s="18" t="n">
        <v>75.98999999999999</v>
      </c>
      <c r="N42" s="24" t="n">
        <v>-0.343</v>
      </c>
      <c r="O42" s="23" t="inlineStr">
        <is>
          <t>Líder de Preço</t>
        </is>
      </c>
      <c r="P42" s="23" t="inlineStr">
        <is>
          <t>Neutro</t>
        </is>
      </c>
    </row>
    <row r="43" ht="20" customHeight="1">
      <c r="A43" s="4" t="n">
        <v>39</v>
      </c>
      <c r="B43" s="5" t="inlineStr">
        <is>
          <t>100022388</t>
        </is>
      </c>
      <c r="C43" s="6" t="inlineStr">
        <is>
          <t>ENTRESTO 100MG 60CP REV NOVARTIS</t>
        </is>
      </c>
      <c r="D43" s="7" t="n">
        <v>0</v>
      </c>
      <c r="E43" s="7" t="n">
        <v>101.17</v>
      </c>
      <c r="F43" s="8" t="n">
        <v>-101.17</v>
      </c>
      <c r="G43" s="9" t="n">
        <v>-1</v>
      </c>
      <c r="H43" s="10" t="n">
        <v>21</v>
      </c>
      <c r="I43" s="11" t="n">
        <v>0.02</v>
      </c>
      <c r="J43" s="4" t="inlineStr">
        <is>
          <t>🚨 Ruptura Logística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</row>
    <row r="44" ht="20" customHeight="1">
      <c r="A44" s="15" t="n">
        <v>40</v>
      </c>
      <c r="B44" s="16" t="inlineStr">
        <is>
          <t>10033760</t>
        </is>
      </c>
      <c r="C44" s="17" t="inlineStr">
        <is>
          <t>FR HUGGIES MAXIMA PROT HIPER G 58UN</t>
        </is>
      </c>
      <c r="D44" s="18" t="n">
        <v>0</v>
      </c>
      <c r="E44" s="18" t="n">
        <v>100.9</v>
      </c>
      <c r="F44" s="19" t="n">
        <v>-100.9</v>
      </c>
      <c r="G44" s="20" t="n">
        <v>-1</v>
      </c>
      <c r="H44" s="21" t="n">
        <v>95</v>
      </c>
      <c r="I44" s="22" t="n">
        <v>0.08</v>
      </c>
      <c r="J44" s="15" t="inlineStr">
        <is>
          <t>🚨 Ruptura Logística</t>
        </is>
      </c>
      <c r="K44" s="25" t="inlineStr"/>
      <c r="L44" s="23" t="inlineStr"/>
      <c r="M44" s="25" t="inlineStr"/>
      <c r="N44" s="26" t="inlineStr"/>
      <c r="O44" s="23" t="inlineStr">
        <is>
          <t>Não Monitorado</t>
        </is>
      </c>
      <c r="P44" s="23" t="inlineStr">
        <is>
          <t>Neutro</t>
        </is>
      </c>
    </row>
    <row r="45" ht="20" customHeight="1">
      <c r="A45" s="4" t="n">
        <v>41</v>
      </c>
      <c r="B45" s="5" t="inlineStr">
        <is>
          <t>10021280</t>
        </is>
      </c>
      <c r="C45" s="6" t="inlineStr">
        <is>
          <t>TRIMBOW 120DOSES SPRAY CHIESI</t>
        </is>
      </c>
      <c r="D45" s="7" t="n">
        <v>0</v>
      </c>
      <c r="E45" s="7" t="n">
        <v>100.7</v>
      </c>
      <c r="F45" s="8" t="n">
        <v>-100.7</v>
      </c>
      <c r="G45" s="9" t="n">
        <v>-1</v>
      </c>
      <c r="H45" s="10" t="n">
        <v>2</v>
      </c>
      <c r="I45" s="11" t="n">
        <v>0</v>
      </c>
      <c r="J45" s="4" t="inlineStr">
        <is>
          <t>🚨 Ruptura Logística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</row>
    <row r="46" ht="20" customHeight="1">
      <c r="A46" s="15" t="n">
        <v>42</v>
      </c>
      <c r="B46" s="16" t="inlineStr">
        <is>
          <t>10107350</t>
        </is>
      </c>
      <c r="C46" s="17" t="inlineStr">
        <is>
          <t>PRIMOGYNA 2MG 28DRG GENOM</t>
        </is>
      </c>
      <c r="D46" s="18" t="n">
        <v>0</v>
      </c>
      <c r="E46" s="18" t="n">
        <v>95.04000000000001</v>
      </c>
      <c r="F46" s="19" t="n">
        <v>-95.04000000000001</v>
      </c>
      <c r="G46" s="20" t="n">
        <v>-1</v>
      </c>
      <c r="H46" s="21" t="n">
        <v>23</v>
      </c>
      <c r="I46" s="22" t="n">
        <v>0.02</v>
      </c>
      <c r="J46" s="15" t="inlineStr">
        <is>
          <t>⚠️ Duplo Detrator</t>
        </is>
      </c>
      <c r="K46" s="18" t="n">
        <v>117.25</v>
      </c>
      <c r="L46" s="23" t="inlineStr">
        <is>
          <t>PANVEL</t>
        </is>
      </c>
      <c r="M46" s="18" t="n">
        <v>92.58</v>
      </c>
      <c r="N46" s="27" t="n">
        <v>0.266</v>
      </c>
      <c r="O46" s="23" t="inlineStr">
        <is>
          <t>São João Mais Cara</t>
        </is>
      </c>
      <c r="P46" s="23" t="inlineStr">
        <is>
          <t>Neutro</t>
        </is>
      </c>
    </row>
    <row r="47" ht="20" customHeight="1">
      <c r="A47" s="4" t="n">
        <v>43</v>
      </c>
      <c r="B47" s="5" t="inlineStr">
        <is>
          <t>10037546</t>
        </is>
      </c>
      <c r="C47" s="6" t="inlineStr">
        <is>
          <t>ROUPA INT SAO JOAO ADULTO PANTS G/XG 16UN</t>
        </is>
      </c>
      <c r="D47" s="7" t="n">
        <v>0</v>
      </c>
      <c r="E47" s="7" t="n">
        <v>91.31999999999999</v>
      </c>
      <c r="F47" s="8" t="n">
        <v>-91.31999999999999</v>
      </c>
      <c r="G47" s="9" t="n">
        <v>-1</v>
      </c>
      <c r="H47" s="10" t="n">
        <v>686</v>
      </c>
      <c r="I47" s="11" t="n">
        <v>0.6</v>
      </c>
      <c r="J47" s="4" t="inlineStr">
        <is>
          <t>🚨 Ruptura Logística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</row>
    <row r="48" ht="20" customHeight="1">
      <c r="A48" s="15" t="n">
        <v>44</v>
      </c>
      <c r="B48" s="16" t="inlineStr">
        <is>
          <t>100011177</t>
        </is>
      </c>
      <c r="C48" s="17" t="inlineStr">
        <is>
          <t>SUMAXPRO 85MG+500MG 2CP REV LIBBS</t>
        </is>
      </c>
      <c r="D48" s="18" t="n">
        <v>0</v>
      </c>
      <c r="E48" s="18" t="n">
        <v>90.05</v>
      </c>
      <c r="F48" s="19" t="n">
        <v>-90.05</v>
      </c>
      <c r="G48" s="20" t="n">
        <v>-1</v>
      </c>
      <c r="H48" s="21" t="n">
        <v>94</v>
      </c>
      <c r="I48" s="22" t="n">
        <v>0.08</v>
      </c>
      <c r="J48" s="15" t="inlineStr">
        <is>
          <t>🚨 Ruptura Logística</t>
        </is>
      </c>
      <c r="K48" s="25" t="inlineStr"/>
      <c r="L48" s="23" t="inlineStr"/>
      <c r="M48" s="25" t="inlineStr"/>
      <c r="N48" s="26" t="inlineStr"/>
      <c r="O48" s="23" t="inlineStr">
        <is>
          <t>Não Monitorado</t>
        </is>
      </c>
      <c r="P48" s="23" t="inlineStr">
        <is>
          <t>Neutro</t>
        </is>
      </c>
    </row>
    <row r="49" ht="20" customHeight="1">
      <c r="A49" s="4" t="n">
        <v>45</v>
      </c>
      <c r="B49" s="5" t="inlineStr">
        <is>
          <t>10005584</t>
        </is>
      </c>
      <c r="C49" s="6" t="inlineStr">
        <is>
          <t>TANSULOSINA 0,4MG 30CP LIB PROL GEN EMS</t>
        </is>
      </c>
      <c r="D49" s="7" t="n">
        <v>0</v>
      </c>
      <c r="E49" s="7" t="n">
        <v>87.28</v>
      </c>
      <c r="F49" s="8" t="n">
        <v>-87.28</v>
      </c>
      <c r="G49" s="9" t="n">
        <v>-1</v>
      </c>
      <c r="H49" s="10" t="n">
        <v>132</v>
      </c>
      <c r="I49" s="11" t="n">
        <v>0.12</v>
      </c>
      <c r="J49" s="4" t="inlineStr">
        <is>
          <t>⚠️ Duplo Detrator</t>
        </is>
      </c>
      <c r="K49" s="7" t="n">
        <v>75.89</v>
      </c>
      <c r="L49" s="13" t="inlineStr">
        <is>
          <t>NISSEI</t>
        </is>
      </c>
      <c r="M49" s="7" t="n">
        <v>65.89</v>
      </c>
      <c r="N49" s="28" t="n">
        <v>0.152</v>
      </c>
      <c r="O49" s="13" t="inlineStr">
        <is>
          <t>São João Mais Cara</t>
        </is>
      </c>
      <c r="P49" s="13" t="inlineStr">
        <is>
          <t>Neutro</t>
        </is>
      </c>
    </row>
    <row r="50" ht="20" customHeight="1">
      <c r="A50" s="15" t="n">
        <v>46</v>
      </c>
      <c r="B50" s="16" t="inlineStr">
        <is>
          <t>100021381</t>
        </is>
      </c>
      <c r="C50" s="17" t="inlineStr">
        <is>
          <t>DEXILANT 60MG 60CAP LIB RET TAKEDA</t>
        </is>
      </c>
      <c r="D50" s="18" t="n">
        <v>0</v>
      </c>
      <c r="E50" s="18" t="n">
        <v>86.45</v>
      </c>
      <c r="F50" s="19" t="n">
        <v>-86.45</v>
      </c>
      <c r="G50" s="20" t="n">
        <v>-1</v>
      </c>
      <c r="H50" s="21" t="n">
        <v>90</v>
      </c>
      <c r="I50" s="22" t="n">
        <v>0.08</v>
      </c>
      <c r="J50" s="15" t="inlineStr">
        <is>
          <t>🚨 Ruptura Logística</t>
        </is>
      </c>
      <c r="K50" s="25" t="inlineStr"/>
      <c r="L50" s="23" t="inlineStr"/>
      <c r="M50" s="25" t="inlineStr"/>
      <c r="N50" s="26" t="inlineStr"/>
      <c r="O50" s="23" t="inlineStr">
        <is>
          <t>Não Monitorado</t>
        </is>
      </c>
      <c r="P50" s="23" t="inlineStr">
        <is>
          <t>Neutro</t>
        </is>
      </c>
    </row>
    <row r="51" ht="20" customHeight="1">
      <c r="A51" s="4" t="n">
        <v>47</v>
      </c>
      <c r="B51" s="5" t="inlineStr">
        <is>
          <t>100001424</t>
        </is>
      </c>
      <c r="C51" s="6" t="inlineStr">
        <is>
          <t>ESCITALOPRAM 10MG 60CP REV GEN EMS (C1)</t>
        </is>
      </c>
      <c r="D51" s="7" t="n">
        <v>40.49</v>
      </c>
      <c r="E51" s="7" t="n">
        <v>126.73</v>
      </c>
      <c r="F51" s="8" t="n">
        <v>-86.23999999999999</v>
      </c>
      <c r="G51" s="9" t="n">
        <v>-0.6809999999999999</v>
      </c>
      <c r="H51" s="10" t="n">
        <v>219</v>
      </c>
      <c r="I51" s="11" t="n">
        <v>0.19</v>
      </c>
      <c r="J51" s="4" t="inlineStr">
        <is>
          <t>🚨 Ruptura Logística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</row>
    <row r="52" ht="20" customHeight="1">
      <c r="A52" s="15" t="n">
        <v>48</v>
      </c>
      <c r="B52" s="16" t="inlineStr">
        <is>
          <t>10035173</t>
        </is>
      </c>
      <c r="C52" s="17" t="inlineStr">
        <is>
          <t>ESC DENT COLGATE 4UN SLIMSOFT BLACK</t>
        </is>
      </c>
      <c r="D52" s="18" t="n">
        <v>26.49</v>
      </c>
      <c r="E52" s="18" t="n">
        <v>111.46</v>
      </c>
      <c r="F52" s="19" t="n">
        <v>-84.97</v>
      </c>
      <c r="G52" s="20" t="n">
        <v>-0.762</v>
      </c>
      <c r="H52" s="21" t="n">
        <v>125</v>
      </c>
      <c r="I52" s="22" t="n">
        <v>0.11</v>
      </c>
      <c r="J52" s="15" t="inlineStr">
        <is>
          <t>🚨 Ruptura Logística</t>
        </is>
      </c>
      <c r="K52" s="25" t="inlineStr"/>
      <c r="L52" s="23" t="inlineStr"/>
      <c r="M52" s="25" t="inlineStr"/>
      <c r="N52" s="26" t="inlineStr"/>
      <c r="O52" s="23" t="inlineStr">
        <is>
          <t>Não Monitorado</t>
        </is>
      </c>
      <c r="P52" s="23" t="inlineStr">
        <is>
          <t>Neutro</t>
        </is>
      </c>
    </row>
    <row r="53" ht="20" customHeight="1">
      <c r="A53" s="4" t="n">
        <v>49</v>
      </c>
      <c r="B53" s="5" t="inlineStr">
        <is>
          <t>2996</t>
        </is>
      </c>
      <c r="C53" s="6" t="inlineStr">
        <is>
          <t>PROCTYL POM 30G 10APLIC TAKEDA</t>
        </is>
      </c>
      <c r="D53" s="7" t="n">
        <v>0</v>
      </c>
      <c r="E53" s="7" t="n">
        <v>81.29000000000001</v>
      </c>
      <c r="F53" s="8" t="n">
        <v>-81.29000000000001</v>
      </c>
      <c r="G53" s="9" t="n">
        <v>-1</v>
      </c>
      <c r="H53" s="10" t="n">
        <v>79</v>
      </c>
      <c r="I53" s="11" t="n">
        <v>0.07000000000000001</v>
      </c>
      <c r="J53" s="4" t="inlineStr">
        <is>
          <t>⚠️ Duplo Detrator</t>
        </is>
      </c>
      <c r="K53" s="7" t="n">
        <v>109.18</v>
      </c>
      <c r="L53" s="13" t="inlineStr">
        <is>
          <t>NISSEI</t>
        </is>
      </c>
      <c r="M53" s="7" t="n">
        <v>80.95</v>
      </c>
      <c r="N53" s="28" t="n">
        <v>0.349</v>
      </c>
      <c r="O53" s="13" t="inlineStr">
        <is>
          <t>São João Mais Cara</t>
        </is>
      </c>
      <c r="P53" s="13" t="inlineStr">
        <is>
          <t>Neutro</t>
        </is>
      </c>
    </row>
    <row r="54" ht="20" customHeight="1">
      <c r="A54" s="15" t="n">
        <v>50</v>
      </c>
      <c r="B54" s="16" t="inlineStr">
        <is>
          <t>100015009</t>
        </is>
      </c>
      <c r="C54" s="17" t="inlineStr">
        <is>
          <t>SAB DOVE 90G LV+ PG- 6UN ORIGINAL</t>
        </is>
      </c>
      <c r="D54" s="18" t="n">
        <v>251.1</v>
      </c>
      <c r="E54" s="18" t="n">
        <v>330.88</v>
      </c>
      <c r="F54" s="19" t="n">
        <v>-79.78</v>
      </c>
      <c r="G54" s="20" t="n">
        <v>-0.241</v>
      </c>
      <c r="H54" s="21" t="n">
        <v>12334</v>
      </c>
      <c r="I54" s="30" t="n">
        <v>10.75</v>
      </c>
      <c r="J54" s="15" t="inlineStr">
        <is>
          <t>📉 Demanda Normal</t>
        </is>
      </c>
      <c r="K54" s="25" t="inlineStr"/>
      <c r="L54" s="23" t="inlineStr"/>
      <c r="M54" s="25" t="inlineStr"/>
      <c r="N54" s="26" t="inlineStr"/>
      <c r="O54" s="23" t="inlineStr">
        <is>
          <t>Não Monitorado</t>
        </is>
      </c>
      <c r="P54" s="23" t="inlineStr">
        <is>
          <t>Neutro</t>
        </is>
      </c>
    </row>
    <row r="55" ht="24" customHeight="1">
      <c r="A55" s="31" t="inlineStr">
        <is>
          <t>TOTAL TOP 50</t>
        </is>
      </c>
      <c r="B55" s="32" t="n"/>
      <c r="C55" s="32" t="n"/>
      <c r="D55" s="33">
        <f>SUM(D5:D54)</f>
        <v/>
      </c>
      <c r="E55" s="33">
        <f>SUM(E5:E54)</f>
        <v/>
      </c>
      <c r="F55" s="34">
        <f>SUM(F5:F54)</f>
        <v/>
      </c>
      <c r="G55" s="35">
        <f>(D55-E55)/E55</f>
        <v/>
      </c>
      <c r="H55" s="36">
        <f>SUM(H5:H54)</f>
        <v/>
      </c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2026-09-08T13:36:17Z</dcterms:created>
  <dcterms:modified xmlns:dcterms="http://purl.org/dc/terms/" xmlns:xsi="http://www.w3.org/2001/XMLSchema-instance" xsi:type="dcterms:W3CDTF">2026-09-08T13:36:18Z</dcterms:modified>
</cp:coreProperties>
</file>