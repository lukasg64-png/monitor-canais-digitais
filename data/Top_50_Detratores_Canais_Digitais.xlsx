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10:53:49 (10:53)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14706.01</v>
      </c>
      <c r="E5" s="7" t="n">
        <v>23578.47</v>
      </c>
      <c r="F5" s="8" t="n">
        <v>-8872.459999999999</v>
      </c>
      <c r="G5" s="9" t="n">
        <v>-0.376</v>
      </c>
      <c r="H5" s="10" t="n">
        <v>113</v>
      </c>
      <c r="I5" s="11" t="n">
        <v>0.09</v>
      </c>
      <c r="J5" s="4" t="inlineStr">
        <is>
          <t>🚨 Ruptura Logística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Abastecimento Emergencial Lojas/CD</t>
        </is>
      </c>
    </row>
    <row r="6" ht="20" customHeight="1">
      <c r="A6" s="15" t="n">
        <v>2</v>
      </c>
      <c r="B6" s="16" t="inlineStr">
        <is>
          <t>10046657</t>
        </is>
      </c>
      <c r="C6" s="17" t="inlineStr">
        <is>
          <t>MOUNJARO 15MG 4CAN APLIC LILLY</t>
        </is>
      </c>
      <c r="D6" s="18" t="n">
        <v>0</v>
      </c>
      <c r="E6" s="18" t="n">
        <v>2368.21</v>
      </c>
      <c r="F6" s="19" t="n">
        <v>-2368.21</v>
      </c>
      <c r="G6" s="20" t="n">
        <v>-1</v>
      </c>
      <c r="H6" s="21" t="n">
        <v>0</v>
      </c>
      <c r="I6" s="22" t="n">
        <v>0</v>
      </c>
      <c r="J6" s="15" t="inlineStr">
        <is>
          <t>🚨 Ruptura Logística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Moderado</t>
        </is>
      </c>
      <c r="Q6" s="26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10046656</t>
        </is>
      </c>
      <c r="C7" s="6" t="inlineStr">
        <is>
          <t>MOUNJARO 12,5MG 4CAN APLIC LILLY</t>
        </is>
      </c>
      <c r="D7" s="7" t="n">
        <v>0</v>
      </c>
      <c r="E7" s="7" t="n">
        <v>1578.81</v>
      </c>
      <c r="F7" s="8" t="n">
        <v>-1578.81</v>
      </c>
      <c r="G7" s="9" t="n">
        <v>-1</v>
      </c>
      <c r="H7" s="10" t="n">
        <v>0</v>
      </c>
      <c r="I7" s="11" t="n">
        <v>0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10050648</t>
        </is>
      </c>
      <c r="C8" s="17" t="inlineStr">
        <is>
          <t>POVIZTRA 1MG 3ML EUROFARMA</t>
        </is>
      </c>
      <c r="D8" s="18" t="n">
        <v>1208</v>
      </c>
      <c r="E8" s="18" t="n">
        <v>2117.21</v>
      </c>
      <c r="F8" s="19" t="n">
        <v>-909.21</v>
      </c>
      <c r="G8" s="20" t="n">
        <v>-0.429</v>
      </c>
      <c r="H8" s="21" t="n">
        <v>127</v>
      </c>
      <c r="I8" s="22" t="n">
        <v>0.1</v>
      </c>
      <c r="J8" s="15" t="inlineStr">
        <is>
          <t>🚨 Ruptura Logística</t>
        </is>
      </c>
      <c r="K8" s="18" t="n">
        <v>988.22</v>
      </c>
      <c r="L8" s="24" t="inlineStr">
        <is>
          <t>PREÇO POPULAR</t>
        </is>
      </c>
      <c r="M8" s="18" t="n">
        <v>988.22</v>
      </c>
      <c r="N8" s="29" t="n">
        <v>0</v>
      </c>
      <c r="O8" s="24" t="inlineStr">
        <is>
          <t>Preço Alinhado</t>
        </is>
      </c>
      <c r="P8" s="24" t="inlineStr">
        <is>
          <t>Neutro</t>
        </is>
      </c>
      <c r="Q8" s="26" t="inlineStr">
        <is>
          <t>Abastecimento Emergencial Lojas/CD</t>
        </is>
      </c>
    </row>
    <row r="9" ht="20" customHeight="1">
      <c r="A9" s="4" t="n">
        <v>5</v>
      </c>
      <c r="B9" s="5" t="inlineStr">
        <is>
          <t>10037731</t>
        </is>
      </c>
      <c r="C9" s="6" t="inlineStr">
        <is>
          <t>CREATINA HARDCORE 300G INTEGRALMEDICA</t>
        </is>
      </c>
      <c r="D9" s="7" t="n">
        <v>399.6</v>
      </c>
      <c r="E9" s="7" t="n">
        <v>1063.38</v>
      </c>
      <c r="F9" s="8" t="n">
        <v>-663.78</v>
      </c>
      <c r="G9" s="9" t="n">
        <v>-0.624</v>
      </c>
      <c r="H9" s="10" t="n">
        <v>9</v>
      </c>
      <c r="I9" s="11" t="n">
        <v>0.01</v>
      </c>
      <c r="J9" s="4" t="inlineStr">
        <is>
          <t>⚠️ Duplo Detrator</t>
        </is>
      </c>
      <c r="K9" s="7" t="n">
        <v>99.90000000000001</v>
      </c>
      <c r="L9" s="12" t="inlineStr">
        <is>
          <t>AMAZON</t>
        </is>
      </c>
      <c r="M9" s="7" t="n">
        <v>46.85</v>
      </c>
      <c r="N9" s="30" t="n">
        <v>1.132</v>
      </c>
      <c r="O9" s="12" t="inlineStr">
        <is>
          <t>São João Mais Cara</t>
        </is>
      </c>
      <c r="P9" s="12" t="inlineStr">
        <is>
          <t>Neutro</t>
        </is>
      </c>
      <c r="Q9" s="6" t="inlineStr">
        <is>
          <t>Reprecificar e Remanejar (Amazon R$ 46.85)</t>
        </is>
      </c>
    </row>
    <row r="10" ht="20" customHeight="1">
      <c r="A10" s="15" t="n">
        <v>6</v>
      </c>
      <c r="B10" s="16" t="inlineStr">
        <is>
          <t>10033758</t>
        </is>
      </c>
      <c r="C10" s="17" t="inlineStr">
        <is>
          <t>FR HUGGIES MAXIMA PROT HIPER XG 56UN</t>
        </is>
      </c>
      <c r="D10" s="18" t="n">
        <v>169.8</v>
      </c>
      <c r="E10" s="18" t="n">
        <v>771.42</v>
      </c>
      <c r="F10" s="19" t="n">
        <v>-601.62</v>
      </c>
      <c r="G10" s="20" t="n">
        <v>-0.78</v>
      </c>
      <c r="H10" s="21" t="n">
        <v>262</v>
      </c>
      <c r="I10" s="22" t="n">
        <v>0.21</v>
      </c>
      <c r="J10" s="15" t="inlineStr">
        <is>
          <t>🚨 Ruptura Logística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Neutro</t>
        </is>
      </c>
      <c r="Q10" s="26" t="inlineStr">
        <is>
          <t>Abastecimento Emergencial Lojas/CD</t>
        </is>
      </c>
    </row>
    <row r="11" ht="20" customHeight="1">
      <c r="A11" s="4" t="n">
        <v>7</v>
      </c>
      <c r="B11" s="5" t="inlineStr">
        <is>
          <t>10041248</t>
        </is>
      </c>
      <c r="C11" s="6" t="inlineStr">
        <is>
          <t>CREATINA MONOHIDRATADA 300G DUX</t>
        </is>
      </c>
      <c r="D11" s="7" t="n">
        <v>0</v>
      </c>
      <c r="E11" s="7" t="n">
        <v>583.14</v>
      </c>
      <c r="F11" s="8" t="n">
        <v>-583.14</v>
      </c>
      <c r="G11" s="9" t="n">
        <v>-1</v>
      </c>
      <c r="H11" s="10" t="n">
        <v>15</v>
      </c>
      <c r="I11" s="11" t="n">
        <v>0.01</v>
      </c>
      <c r="J11" s="4" t="inlineStr">
        <is>
          <t>🚨 Ruptura Logística</t>
        </is>
      </c>
      <c r="K11" s="27" t="inlineStr"/>
      <c r="L11" s="12" t="inlineStr">
        <is>
          <t>AMAZON</t>
        </is>
      </c>
      <c r="M11" s="7" t="n">
        <v>50.25</v>
      </c>
      <c r="N11" s="28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10041263</t>
        </is>
      </c>
      <c r="C12" s="17" t="inlineStr">
        <is>
          <t>FR HUGGIES ROUPINHA ACOLCHOADA MAX G 88U</t>
        </is>
      </c>
      <c r="D12" s="18" t="n">
        <v>105.9</v>
      </c>
      <c r="E12" s="18" t="n">
        <v>686.05</v>
      </c>
      <c r="F12" s="19" t="n">
        <v>-580.15</v>
      </c>
      <c r="G12" s="20" t="n">
        <v>-0.846</v>
      </c>
      <c r="H12" s="21" t="n">
        <v>6</v>
      </c>
      <c r="I12" s="22" t="n">
        <v>0</v>
      </c>
      <c r="J12" s="15" t="inlineStr">
        <is>
          <t>🚨 Ruptura Logística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Neutro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10052534</t>
        </is>
      </c>
      <c r="C13" s="6" t="inlineStr">
        <is>
          <t>FR PAMPERS CONFORTSEC BAG MAX XG 86UN</t>
        </is>
      </c>
      <c r="D13" s="7" t="n">
        <v>563.62</v>
      </c>
      <c r="E13" s="7" t="n">
        <v>1130.11</v>
      </c>
      <c r="F13" s="8" t="n">
        <v>-566.49</v>
      </c>
      <c r="G13" s="9" t="n">
        <v>-0.501</v>
      </c>
      <c r="H13" s="10" t="n">
        <v>901</v>
      </c>
      <c r="I13" s="11" t="n">
        <v>0.72</v>
      </c>
      <c r="J13" s="4" t="inlineStr">
        <is>
          <t>🚨 Ruptura Logística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10026927</t>
        </is>
      </c>
      <c r="C14" s="17" t="inlineStr">
        <is>
          <t>NANLAC SUPREME 800G NESTLE</t>
        </is>
      </c>
      <c r="D14" s="18" t="n">
        <v>157.72</v>
      </c>
      <c r="E14" s="18" t="n">
        <v>703.29</v>
      </c>
      <c r="F14" s="19" t="n">
        <v>-545.5700000000001</v>
      </c>
      <c r="G14" s="20" t="n">
        <v>-0.7759999999999999</v>
      </c>
      <c r="H14" s="21" t="n">
        <v>88</v>
      </c>
      <c r="I14" s="22" t="n">
        <v>0.07000000000000001</v>
      </c>
      <c r="J14" s="15" t="inlineStr">
        <is>
          <t>⚠️ Duplo Detrator</t>
        </is>
      </c>
      <c r="K14" s="18" t="n">
        <v>108.49</v>
      </c>
      <c r="L14" s="24" t="inlineStr">
        <is>
          <t>PREÇO POPULAR</t>
        </is>
      </c>
      <c r="M14" s="18" t="n">
        <v>97.69</v>
      </c>
      <c r="N14" s="31" t="n">
        <v>0.111</v>
      </c>
      <c r="O14" s="24" t="inlineStr">
        <is>
          <t>São João Mais Cara</t>
        </is>
      </c>
      <c r="P14" s="24" t="inlineStr">
        <is>
          <t>Neutro</t>
        </is>
      </c>
      <c r="Q14" s="17" t="inlineStr">
        <is>
          <t>Reprecificar e Remanejar (Precopopular R$ 97.69)</t>
        </is>
      </c>
    </row>
    <row r="15" ht="20" customHeight="1">
      <c r="A15" s="4" t="n">
        <v>11</v>
      </c>
      <c r="B15" s="5" t="inlineStr">
        <is>
          <t>10041261</t>
        </is>
      </c>
      <c r="C15" s="6" t="inlineStr">
        <is>
          <t>FR HUGGIES ROUPINHA ACOLCHOADA MAX XXG 7</t>
        </is>
      </c>
      <c r="D15" s="7" t="n">
        <v>105.9</v>
      </c>
      <c r="E15" s="7" t="n">
        <v>611.38</v>
      </c>
      <c r="F15" s="8" t="n">
        <v>-505.48</v>
      </c>
      <c r="G15" s="9" t="n">
        <v>-0.8270000000000001</v>
      </c>
      <c r="H15" s="10" t="n">
        <v>11</v>
      </c>
      <c r="I15" s="11" t="n">
        <v>0.01</v>
      </c>
      <c r="J15" s="4" t="inlineStr">
        <is>
          <t>🚨 Ruptura Logística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10028708</t>
        </is>
      </c>
      <c r="C16" s="17" t="inlineStr">
        <is>
          <t>FR SAO JOAO BABY BAG XXG 56UN</t>
        </is>
      </c>
      <c r="D16" s="18" t="n">
        <v>221.97</v>
      </c>
      <c r="E16" s="18" t="n">
        <v>681.9</v>
      </c>
      <c r="F16" s="19" t="n">
        <v>-459.93</v>
      </c>
      <c r="G16" s="20" t="n">
        <v>-0.674</v>
      </c>
      <c r="H16" s="21" t="n">
        <v>758</v>
      </c>
      <c r="I16" s="22" t="n">
        <v>0.6</v>
      </c>
      <c r="J16" s="15" t="inlineStr">
        <is>
          <t>🚨 Ruptura Logística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Neutro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10025098</t>
        </is>
      </c>
      <c r="C17" s="6" t="inlineStr">
        <is>
          <t>AJOVY 225MG 1,5ML SER PREENC TEVA</t>
        </is>
      </c>
      <c r="D17" s="7" t="n">
        <v>0</v>
      </c>
      <c r="E17" s="7" t="n">
        <v>446.84</v>
      </c>
      <c r="F17" s="8" t="n">
        <v>-446.84</v>
      </c>
      <c r="G17" s="9" t="n">
        <v>-1</v>
      </c>
      <c r="H17" s="10" t="n">
        <v>0</v>
      </c>
      <c r="I17" s="11" t="n">
        <v>0</v>
      </c>
      <c r="J17" s="4" t="inlineStr">
        <is>
          <t>🚨 Ruptura Logística</t>
        </is>
      </c>
      <c r="K17" s="27" t="inlineStr"/>
      <c r="L17" s="12" t="inlineStr">
        <is>
          <t>PANVEL</t>
        </is>
      </c>
      <c r="M17" s="7" t="n">
        <v>1212.9</v>
      </c>
      <c r="N17" s="28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10093877</t>
        </is>
      </c>
      <c r="C18" s="17" t="inlineStr">
        <is>
          <t>MIRENA 52MG 1END+INS BAYER</t>
        </is>
      </c>
      <c r="D18" s="18" t="n">
        <v>0</v>
      </c>
      <c r="E18" s="18" t="n">
        <v>446.34</v>
      </c>
      <c r="F18" s="19" t="n">
        <v>-446.34</v>
      </c>
      <c r="G18" s="20" t="n">
        <v>-1</v>
      </c>
      <c r="H18" s="21" t="n">
        <v>20</v>
      </c>
      <c r="I18" s="22" t="n">
        <v>0.02</v>
      </c>
      <c r="J18" s="15" t="inlineStr">
        <is>
          <t>🚨 Ruptura Logística</t>
        </is>
      </c>
      <c r="K18" s="23" t="inlineStr"/>
      <c r="L18" s="24" t="inlineStr">
        <is>
          <t>NISSEI</t>
        </is>
      </c>
      <c r="M18" s="18" t="n">
        <v>1225.89</v>
      </c>
      <c r="N18" s="25" t="inlineStr"/>
      <c r="O18" s="24" t="inlineStr">
        <is>
          <t>Não Monitorado</t>
        </is>
      </c>
      <c r="P18" s="24" t="inlineStr">
        <is>
          <t>Neutro</t>
        </is>
      </c>
      <c r="Q18" s="26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10050653</t>
        </is>
      </c>
      <c r="C19" s="6" t="inlineStr">
        <is>
          <t>POVIZTRA 1,7MG 3ML EUROFARMA</t>
        </is>
      </c>
      <c r="D19" s="7" t="n">
        <v>0</v>
      </c>
      <c r="E19" s="7" t="n">
        <v>426.98</v>
      </c>
      <c r="F19" s="8" t="n">
        <v>-426.98</v>
      </c>
      <c r="G19" s="9" t="n">
        <v>-1</v>
      </c>
      <c r="H19" s="10" t="n">
        <v>4</v>
      </c>
      <c r="I19" s="11" t="n">
        <v>0</v>
      </c>
      <c r="J19" s="4" t="inlineStr">
        <is>
          <t>🚨 Ruptura Logística</t>
        </is>
      </c>
      <c r="K19" s="7" t="n">
        <v>1347.91</v>
      </c>
      <c r="L19" s="12" t="inlineStr">
        <is>
          <t>PREÇO POPULAR</t>
        </is>
      </c>
      <c r="M19" s="7" t="n">
        <v>1347.89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10050640</t>
        </is>
      </c>
      <c r="C20" s="17" t="inlineStr">
        <is>
          <t>POVIZTRA 0,25MG 1,5ML EUROFARMA</t>
        </is>
      </c>
      <c r="D20" s="18" t="n">
        <v>295</v>
      </c>
      <c r="E20" s="18" t="n">
        <v>709.91</v>
      </c>
      <c r="F20" s="19" t="n">
        <v>-414.91</v>
      </c>
      <c r="G20" s="20" t="n">
        <v>-0.584</v>
      </c>
      <c r="H20" s="21" t="n">
        <v>27</v>
      </c>
      <c r="I20" s="22" t="n">
        <v>0.02</v>
      </c>
      <c r="J20" s="15" t="inlineStr">
        <is>
          <t>🚨 Ruptura Logística</t>
        </is>
      </c>
      <c r="K20" s="18" t="n">
        <v>831.76</v>
      </c>
      <c r="L20" s="24" t="inlineStr">
        <is>
          <t>PREÇO POPULAR</t>
        </is>
      </c>
      <c r="M20" s="18" t="n">
        <v>831.76</v>
      </c>
      <c r="N20" s="29" t="n">
        <v>0</v>
      </c>
      <c r="O20" s="24" t="inlineStr">
        <is>
          <t>Preço Alinhado</t>
        </is>
      </c>
      <c r="P20" s="24" t="inlineStr">
        <is>
          <t>Neutro</t>
        </is>
      </c>
      <c r="Q20" s="26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10024521</t>
        </is>
      </c>
      <c r="C21" s="6" t="inlineStr">
        <is>
          <t>XIFAXAN 550MG 28CP REV BIOLAB</t>
        </is>
      </c>
      <c r="D21" s="7" t="n">
        <v>0</v>
      </c>
      <c r="E21" s="7" t="n">
        <v>411.99</v>
      </c>
      <c r="F21" s="8" t="n">
        <v>-411.99</v>
      </c>
      <c r="G21" s="9" t="n">
        <v>-1</v>
      </c>
      <c r="H21" s="10" t="n">
        <v>0</v>
      </c>
      <c r="I21" s="11" t="n">
        <v>0</v>
      </c>
      <c r="J21" s="4" t="inlineStr">
        <is>
          <t>🚨 Ruptura Logística</t>
        </is>
      </c>
      <c r="K21" s="7" t="n">
        <v>799.9</v>
      </c>
      <c r="L21" s="12" t="inlineStr">
        <is>
          <t>NISSEI</t>
        </is>
      </c>
      <c r="M21" s="7" t="n">
        <v>814.9</v>
      </c>
      <c r="N21" s="13" t="n">
        <v>-0.018</v>
      </c>
      <c r="O21" s="12" t="inlineStr">
        <is>
          <t>Líder de Preço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10050440</t>
        </is>
      </c>
      <c r="C22" s="17" t="inlineStr">
        <is>
          <t>AMMY 4MG 72CP REV MANTECORP</t>
        </is>
      </c>
      <c r="D22" s="18" t="n">
        <v>231.09</v>
      </c>
      <c r="E22" s="18" t="n">
        <v>630.01</v>
      </c>
      <c r="F22" s="19" t="n">
        <v>-398.92</v>
      </c>
      <c r="G22" s="20" t="n">
        <v>-0.633</v>
      </c>
      <c r="H22" s="21" t="n">
        <v>9</v>
      </c>
      <c r="I22" s="22" t="n">
        <v>0.01</v>
      </c>
      <c r="J22" s="15" t="inlineStr">
        <is>
          <t>⚠️ Duplo Detrator</t>
        </is>
      </c>
      <c r="K22" s="18" t="n">
        <v>315.46</v>
      </c>
      <c r="L22" s="24" t="inlineStr">
        <is>
          <t>PREÇO POPULAR</t>
        </is>
      </c>
      <c r="M22" s="18" t="n">
        <v>236.6</v>
      </c>
      <c r="N22" s="31" t="n">
        <v>0.333</v>
      </c>
      <c r="O22" s="24" t="inlineStr">
        <is>
          <t>São João Mais Cara</t>
        </is>
      </c>
      <c r="P22" s="24" t="inlineStr">
        <is>
          <t>Neutro</t>
        </is>
      </c>
      <c r="Q22" s="17" t="inlineStr">
        <is>
          <t>Reprecificar e Remanejar (Precopopular R$ 236.60)</t>
        </is>
      </c>
    </row>
    <row r="23" ht="20" customHeight="1">
      <c r="A23" s="4" t="n">
        <v>19</v>
      </c>
      <c r="B23" s="5" t="inlineStr">
        <is>
          <t>100016230</t>
        </is>
      </c>
      <c r="C23" s="6" t="inlineStr">
        <is>
          <t>NEUTROGENA GEL HID FACIAL 50G HYDRO BOOST WATER</t>
        </is>
      </c>
      <c r="D23" s="7" t="n">
        <v>185.7</v>
      </c>
      <c r="E23" s="7" t="n">
        <v>570.9</v>
      </c>
      <c r="F23" s="8" t="n">
        <v>-385.2</v>
      </c>
      <c r="G23" s="9" t="n">
        <v>-0.675</v>
      </c>
      <c r="H23" s="10" t="n">
        <v>13</v>
      </c>
      <c r="I23" s="11" t="n">
        <v>0.01</v>
      </c>
      <c r="J23" s="4" t="inlineStr">
        <is>
          <t>⚠️ Duplo Detrator</t>
        </is>
      </c>
      <c r="K23" s="7" t="n">
        <v>94.98999999999999</v>
      </c>
      <c r="L23" s="12" t="inlineStr">
        <is>
          <t>AMAZON</t>
        </is>
      </c>
      <c r="M23" s="7" t="n">
        <v>49.9</v>
      </c>
      <c r="N23" s="30" t="n">
        <v>0.904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e Remanejar (Amazon R$ 49.90)</t>
        </is>
      </c>
    </row>
    <row r="24" ht="20" customHeight="1">
      <c r="A24" s="15" t="n">
        <v>20</v>
      </c>
      <c r="B24" s="16" t="inlineStr">
        <is>
          <t>10053171</t>
        </is>
      </c>
      <c r="C24" s="17" t="inlineStr">
        <is>
          <t>OZIVY 0,25MG+0,5MG 1CAN 1,5ML EMS</t>
        </is>
      </c>
      <c r="D24" s="18" t="n">
        <v>0</v>
      </c>
      <c r="E24" s="18" t="n">
        <v>383.05</v>
      </c>
      <c r="F24" s="19" t="n">
        <v>-383.05</v>
      </c>
      <c r="G24" s="20" t="n">
        <v>-1</v>
      </c>
      <c r="H24" s="21" t="n">
        <v>13</v>
      </c>
      <c r="I24" s="22" t="n">
        <v>0.01</v>
      </c>
      <c r="J24" s="15" t="inlineStr">
        <is>
          <t>🚨 Ruptura Logística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Neutro</t>
        </is>
      </c>
      <c r="Q24" s="26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10025745</t>
        </is>
      </c>
      <c r="C25" s="6" t="inlineStr">
        <is>
          <t>DENSIS 5MG SOL INJ 100ML C/BOLSA MOMENTA</t>
        </is>
      </c>
      <c r="D25" s="7" t="n">
        <v>0</v>
      </c>
      <c r="E25" s="7" t="n">
        <v>379.63</v>
      </c>
      <c r="F25" s="8" t="n">
        <v>-379.63</v>
      </c>
      <c r="G25" s="9" t="n">
        <v>-1</v>
      </c>
      <c r="H25" s="10" t="n">
        <v>0</v>
      </c>
      <c r="I25" s="11" t="n">
        <v>0</v>
      </c>
      <c r="J25" s="4" t="inlineStr">
        <is>
          <t>🚨 Ruptura Logística</t>
        </is>
      </c>
      <c r="K25" s="7" t="n">
        <v>1105.6</v>
      </c>
      <c r="L25" s="12" t="inlineStr">
        <is>
          <t>DROGARAIA</t>
        </is>
      </c>
      <c r="M25" s="7" t="n">
        <v>1170.01</v>
      </c>
      <c r="N25" s="13" t="n">
        <v>-0.055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10006600</t>
        </is>
      </c>
      <c r="C26" s="17" t="inlineStr">
        <is>
          <t>LEITE NINHO 800G 1+PREBIO 20% DESC 2ªUN</t>
        </is>
      </c>
      <c r="D26" s="18" t="n">
        <v>0</v>
      </c>
      <c r="E26" s="18" t="n">
        <v>369.4</v>
      </c>
      <c r="F26" s="19" t="n">
        <v>-369.4</v>
      </c>
      <c r="G26" s="20" t="n">
        <v>-1</v>
      </c>
      <c r="H26" s="21" t="n">
        <v>84</v>
      </c>
      <c r="I26" s="22" t="n">
        <v>0.07000000000000001</v>
      </c>
      <c r="J26" s="15" t="inlineStr">
        <is>
          <t>🚨 Ruptura Logística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Neutro</t>
        </is>
      </c>
      <c r="Q26" s="26" t="inlineStr">
        <is>
          <t>Abastecimento Emergencial Lojas/CD</t>
        </is>
      </c>
    </row>
    <row r="27" ht="20" customHeight="1">
      <c r="A27" s="4" t="n">
        <v>23</v>
      </c>
      <c r="B27" s="5" t="inlineStr">
        <is>
          <t>10040659</t>
        </is>
      </c>
      <c r="C27" s="6" t="inlineStr">
        <is>
          <t>KIT DOVE SH 350+COND 150ML BOND INTENSE REPAIR</t>
        </is>
      </c>
      <c r="D27" s="7" t="n">
        <v>56.81</v>
      </c>
      <c r="E27" s="7" t="n">
        <v>389.4</v>
      </c>
      <c r="F27" s="8" t="n">
        <v>-332.59</v>
      </c>
      <c r="G27" s="9" t="n">
        <v>-0.8540000000000001</v>
      </c>
      <c r="H27" s="10" t="n">
        <v>650</v>
      </c>
      <c r="I27" s="11" t="n">
        <v>0.52</v>
      </c>
      <c r="J27" s="4" t="inlineStr">
        <is>
          <t>🚨 Ruptura Logística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100020215</t>
        </is>
      </c>
      <c r="C28" s="17" t="inlineStr">
        <is>
          <t>DES DOVE AERO 150ML REGULAR ORIGINAL</t>
        </is>
      </c>
      <c r="D28" s="18" t="n">
        <v>25.9</v>
      </c>
      <c r="E28" s="18" t="n">
        <v>355.76</v>
      </c>
      <c r="F28" s="19" t="n">
        <v>-329.86</v>
      </c>
      <c r="G28" s="20" t="n">
        <v>-0.927</v>
      </c>
      <c r="H28" s="21" t="n">
        <v>241</v>
      </c>
      <c r="I28" s="22" t="n">
        <v>0.19</v>
      </c>
      <c r="J28" s="15" t="inlineStr">
        <is>
          <t>⚠️ Duplo Detrator</t>
        </is>
      </c>
      <c r="K28" s="18" t="n">
        <v>25.9</v>
      </c>
      <c r="L28" s="24" t="inlineStr">
        <is>
          <t>NISSEI</t>
        </is>
      </c>
      <c r="M28" s="18" t="n">
        <v>15.9</v>
      </c>
      <c r="N28" s="31" t="n">
        <v>0.629</v>
      </c>
      <c r="O28" s="24" t="inlineStr">
        <is>
          <t>São João Mais Cara</t>
        </is>
      </c>
      <c r="P28" s="24" t="inlineStr">
        <is>
          <t>Neutro</t>
        </is>
      </c>
      <c r="Q28" s="17" t="inlineStr">
        <is>
          <t>Reprecificar e Remanejar (Farmaciasnissei R$ 15.90)</t>
        </is>
      </c>
    </row>
    <row r="29" ht="20" customHeight="1">
      <c r="A29" s="4" t="n">
        <v>25</v>
      </c>
      <c r="B29" s="5" t="inlineStr">
        <is>
          <t>10028706</t>
        </is>
      </c>
      <c r="C29" s="6" t="inlineStr">
        <is>
          <t>FR SAO JOAO BABY BAG XG 58UN</t>
        </is>
      </c>
      <c r="D29" s="7" t="n">
        <v>0</v>
      </c>
      <c r="E29" s="7" t="n">
        <v>315.24</v>
      </c>
      <c r="F29" s="8" t="n">
        <v>-315.24</v>
      </c>
      <c r="G29" s="9" t="n">
        <v>-1</v>
      </c>
      <c r="H29" s="10" t="n">
        <v>304</v>
      </c>
      <c r="I29" s="11" t="n">
        <v>0.24</v>
      </c>
      <c r="J29" s="4" t="inlineStr">
        <is>
          <t>🚨 Ruptura Logística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10028321</t>
        </is>
      </c>
      <c r="C30" s="17" t="inlineStr">
        <is>
          <t>PREGABALINA 150MG 30CAP GEN EMS (C1)</t>
        </is>
      </c>
      <c r="D30" s="18" t="n">
        <v>67.62</v>
      </c>
      <c r="E30" s="18" t="n">
        <v>382.17</v>
      </c>
      <c r="F30" s="19" t="n">
        <v>-314.55</v>
      </c>
      <c r="G30" s="20" t="n">
        <v>-0.823</v>
      </c>
      <c r="H30" s="21" t="n">
        <v>4</v>
      </c>
      <c r="I30" s="22" t="n">
        <v>0</v>
      </c>
      <c r="J30" s="15" t="inlineStr">
        <is>
          <t>🚨 Ruptura Logística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Neutro</t>
        </is>
      </c>
      <c r="Q30" s="26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10035030</t>
        </is>
      </c>
      <c r="C31" s="6" t="inlineStr">
        <is>
          <t>APTANUTRI PREMIUM 3 800G 30% DESC 2UN DANONE</t>
        </is>
      </c>
      <c r="D31" s="7" t="n">
        <v>0</v>
      </c>
      <c r="E31" s="7" t="n">
        <v>280.17</v>
      </c>
      <c r="F31" s="8" t="n">
        <v>-280.17</v>
      </c>
      <c r="G31" s="9" t="n">
        <v>-1</v>
      </c>
      <c r="H31" s="10" t="n">
        <v>6</v>
      </c>
      <c r="I31" s="11" t="n">
        <v>0</v>
      </c>
      <c r="J31" s="4" t="inlineStr">
        <is>
          <t>🚨 Ruptura Logística</t>
        </is>
      </c>
      <c r="K31" s="27" t="inlineStr"/>
      <c r="L31" s="12" t="inlineStr">
        <is>
          <t>NISSEI</t>
        </is>
      </c>
      <c r="M31" s="7" t="n">
        <v>125.9</v>
      </c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10097312</t>
        </is>
      </c>
      <c r="C32" s="17" t="inlineStr">
        <is>
          <t>NESTOGENO 2 800G NESTLE</t>
        </is>
      </c>
      <c r="D32" s="18" t="n">
        <v>271.96</v>
      </c>
      <c r="E32" s="18" t="n">
        <v>545.92</v>
      </c>
      <c r="F32" s="19" t="n">
        <v>-273.96</v>
      </c>
      <c r="G32" s="20" t="n">
        <v>-0.502</v>
      </c>
      <c r="H32" s="21" t="n">
        <v>254</v>
      </c>
      <c r="I32" s="22" t="n">
        <v>0.2</v>
      </c>
      <c r="J32" s="15" t="inlineStr">
        <is>
          <t>⚠️ Duplo Detrator</t>
        </is>
      </c>
      <c r="K32" s="18" t="n">
        <v>67.98999999999999</v>
      </c>
      <c r="L32" s="24" t="inlineStr">
        <is>
          <t>DROGARAIA</t>
        </is>
      </c>
      <c r="M32" s="18" t="n">
        <v>61.06</v>
      </c>
      <c r="N32" s="31" t="n">
        <v>0.113</v>
      </c>
      <c r="O32" s="24" t="inlineStr">
        <is>
          <t>São João Mais Cara</t>
        </is>
      </c>
      <c r="P32" s="24" t="inlineStr">
        <is>
          <t>Neutro</t>
        </is>
      </c>
      <c r="Q32" s="17" t="inlineStr">
        <is>
          <t>Reprecificar e Remanejar (Drogaraia R$ 61.06)</t>
        </is>
      </c>
    </row>
    <row r="33" ht="20" customHeight="1">
      <c r="A33" s="4" t="n">
        <v>29</v>
      </c>
      <c r="B33" s="5" t="inlineStr">
        <is>
          <t>10053166</t>
        </is>
      </c>
      <c r="C33" s="6" t="inlineStr">
        <is>
          <t>OZIVY 1MG 2CAN 3ML EMS</t>
        </is>
      </c>
      <c r="D33" s="7" t="n">
        <v>0</v>
      </c>
      <c r="E33" s="7" t="n">
        <v>273.6</v>
      </c>
      <c r="F33" s="8" t="n">
        <v>-273.6</v>
      </c>
      <c r="G33" s="9" t="n">
        <v>-1</v>
      </c>
      <c r="H33" s="10" t="n">
        <v>4</v>
      </c>
      <c r="I33" s="11" t="n">
        <v>0</v>
      </c>
      <c r="J33" s="4" t="inlineStr">
        <is>
          <t>🚨 Ruptura Logística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100022270</t>
        </is>
      </c>
      <c r="C34" s="17" t="inlineStr">
        <is>
          <t>ELIFORE 50MG 28CP REV LIB CONT PFIZER (C1)</t>
        </is>
      </c>
      <c r="D34" s="18" t="n">
        <v>0</v>
      </c>
      <c r="E34" s="18" t="n">
        <v>268.37</v>
      </c>
      <c r="F34" s="19" t="n">
        <v>-268.37</v>
      </c>
      <c r="G34" s="20" t="n">
        <v>-1</v>
      </c>
      <c r="H34" s="21" t="n">
        <v>5</v>
      </c>
      <c r="I34" s="22" t="n">
        <v>0</v>
      </c>
      <c r="J34" s="15" t="inlineStr">
        <is>
          <t>⚠️ Duplo Detrator</t>
        </is>
      </c>
      <c r="K34" s="18" t="n">
        <v>185.61</v>
      </c>
      <c r="L34" s="24" t="inlineStr">
        <is>
          <t>NISSEI</t>
        </is>
      </c>
      <c r="M34" s="18" t="n">
        <v>158.66</v>
      </c>
      <c r="N34" s="31" t="n">
        <v>0.17</v>
      </c>
      <c r="O34" s="24" t="inlineStr">
        <is>
          <t>São João Mais Cara</t>
        </is>
      </c>
      <c r="P34" s="24" t="inlineStr">
        <is>
          <t>Neutro</t>
        </is>
      </c>
      <c r="Q34" s="17" t="inlineStr">
        <is>
          <t>Reprecificar e Remanejar (Farmaciasnissei R$ 158.66)</t>
        </is>
      </c>
    </row>
    <row r="35" ht="20" customHeight="1">
      <c r="A35" s="4" t="n">
        <v>31</v>
      </c>
      <c r="B35" s="5" t="inlineStr">
        <is>
          <t>10046652</t>
        </is>
      </c>
      <c r="C35" s="6" t="inlineStr">
        <is>
          <t>MOUNJARO 2,5MG 4CAN APLIC LILLY</t>
        </is>
      </c>
      <c r="D35" s="7" t="n">
        <v>10785.12</v>
      </c>
      <c r="E35" s="7" t="n">
        <v>11047.54</v>
      </c>
      <c r="F35" s="8" t="n">
        <v>-262.42</v>
      </c>
      <c r="G35" s="9" t="n">
        <v>-0.024</v>
      </c>
      <c r="H35" s="10" t="n">
        <v>144</v>
      </c>
      <c r="I35" s="11" t="n">
        <v>0.11</v>
      </c>
      <c r="J35" s="4" t="inlineStr">
        <is>
          <t>🚨 Ruptura Logística</t>
        </is>
      </c>
      <c r="K35" s="7" t="n">
        <v>1905.6</v>
      </c>
      <c r="L35" s="12" t="inlineStr">
        <is>
          <t>PREÇO POPULAR</t>
        </is>
      </c>
      <c r="M35" s="7" t="n">
        <v>1905.6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999697</t>
        </is>
      </c>
      <c r="C36" s="17" t="inlineStr">
        <is>
          <t>EVRA 0,6+6MG 3ADES GEDEON RICHTER</t>
        </is>
      </c>
      <c r="D36" s="18" t="n">
        <v>345.3</v>
      </c>
      <c r="E36" s="18" t="n">
        <v>600.3</v>
      </c>
      <c r="F36" s="19" t="n">
        <v>-255</v>
      </c>
      <c r="G36" s="20" t="n">
        <v>-0.425</v>
      </c>
      <c r="H36" s="21" t="n">
        <v>37</v>
      </c>
      <c r="I36" s="22" t="n">
        <v>0.03</v>
      </c>
      <c r="J36" s="15" t="inlineStr">
        <is>
          <t>⚠️ Duplo Detrator</t>
        </is>
      </c>
      <c r="K36" s="18" t="n">
        <v>149.4</v>
      </c>
      <c r="L36" s="24" t="inlineStr">
        <is>
          <t>PREÇO POPULAR</t>
        </is>
      </c>
      <c r="M36" s="18" t="n">
        <v>107</v>
      </c>
      <c r="N36" s="31" t="n">
        <v>0.396</v>
      </c>
      <c r="O36" s="24" t="inlineStr">
        <is>
          <t>São João Mais Cara</t>
        </is>
      </c>
      <c r="P36" s="24" t="inlineStr">
        <is>
          <t>Neutro</t>
        </is>
      </c>
      <c r="Q36" s="17" t="inlineStr">
        <is>
          <t>Reprecificar e Remanejar (Precopopular R$ 107.00)</t>
        </is>
      </c>
    </row>
    <row r="37" ht="20" customHeight="1">
      <c r="A37" s="4" t="n">
        <v>33</v>
      </c>
      <c r="B37" s="5" t="inlineStr">
        <is>
          <t>10052533</t>
        </is>
      </c>
      <c r="C37" s="6" t="inlineStr">
        <is>
          <t>FR PAMPERS CONFORTSEC BAG MAX XXG 82UN</t>
        </is>
      </c>
      <c r="D37" s="7" t="n">
        <v>463.6</v>
      </c>
      <c r="E37" s="7" t="n">
        <v>715.26</v>
      </c>
      <c r="F37" s="8" t="n">
        <v>-251.66</v>
      </c>
      <c r="G37" s="9" t="n">
        <v>-0.352</v>
      </c>
      <c r="H37" s="10" t="n">
        <v>502</v>
      </c>
      <c r="I37" s="11" t="n">
        <v>0.4</v>
      </c>
      <c r="J37" s="4" t="inlineStr">
        <is>
          <t>🚨 Ruptura Logística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100009772</t>
        </is>
      </c>
      <c r="C38" s="17" t="inlineStr">
        <is>
          <t>FERINJECT 50MG/ML 1FR/AMP 10ML BLANVER</t>
        </is>
      </c>
      <c r="D38" s="18" t="n">
        <v>0</v>
      </c>
      <c r="E38" s="18" t="n">
        <v>242.07</v>
      </c>
      <c r="F38" s="19" t="n">
        <v>-242.07</v>
      </c>
      <c r="G38" s="20" t="n">
        <v>-1</v>
      </c>
      <c r="H38" s="21" t="n">
        <v>6</v>
      </c>
      <c r="I38" s="22" t="n">
        <v>0</v>
      </c>
      <c r="J38" s="15" t="inlineStr">
        <is>
          <t>🚨 Ruptura Logística</t>
        </is>
      </c>
      <c r="K38" s="23" t="inlineStr"/>
      <c r="L38" s="24" t="inlineStr">
        <is>
          <t>PANVEL</t>
        </is>
      </c>
      <c r="M38" s="18" t="n">
        <v>719.9</v>
      </c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10052535</t>
        </is>
      </c>
      <c r="C39" s="6" t="inlineStr">
        <is>
          <t>FR PAMPERS CONFORTSEC BAG MAX G 92UN</t>
        </is>
      </c>
      <c r="D39" s="7" t="n">
        <v>231.8</v>
      </c>
      <c r="E39" s="7" t="n">
        <v>466.29</v>
      </c>
      <c r="F39" s="8" t="n">
        <v>-234.49</v>
      </c>
      <c r="G39" s="9" t="n">
        <v>-0.503</v>
      </c>
      <c r="H39" s="10" t="n">
        <v>165</v>
      </c>
      <c r="I39" s="11" t="n">
        <v>0.13</v>
      </c>
      <c r="J39" s="4" t="inlineStr">
        <is>
          <t>🚨 Ruptura Logística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Abastecimento Emergencial Lojas/CD</t>
        </is>
      </c>
    </row>
    <row r="40" ht="20" customHeight="1">
      <c r="A40" s="15" t="n">
        <v>36</v>
      </c>
      <c r="B40" s="16" t="inlineStr">
        <is>
          <t>10045969</t>
        </is>
      </c>
      <c r="C40" s="17" t="inlineStr">
        <is>
          <t>FR HUGGIES MAXIMA PROT GIGA G 136UN</t>
        </is>
      </c>
      <c r="D40" s="18" t="n">
        <v>0</v>
      </c>
      <c r="E40" s="18" t="n">
        <v>231.62</v>
      </c>
      <c r="F40" s="19" t="n">
        <v>-231.62</v>
      </c>
      <c r="G40" s="20" t="n">
        <v>-1</v>
      </c>
      <c r="H40" s="21" t="n">
        <v>7</v>
      </c>
      <c r="I40" s="22" t="n">
        <v>0.01</v>
      </c>
      <c r="J40" s="15" t="inlineStr">
        <is>
          <t>🚨 Ruptura Logística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10044745</t>
        </is>
      </c>
      <c r="C41" s="6" t="inlineStr">
        <is>
          <t>NEXTELA 15MG+3MG 24+4CP REV LIBBS</t>
        </is>
      </c>
      <c r="D41" s="7" t="n">
        <v>91.09</v>
      </c>
      <c r="E41" s="7" t="n">
        <v>320.16</v>
      </c>
      <c r="F41" s="8" t="n">
        <v>-229.07</v>
      </c>
      <c r="G41" s="9" t="n">
        <v>-0.715</v>
      </c>
      <c r="H41" s="10" t="n">
        <v>95</v>
      </c>
      <c r="I41" s="11" t="n">
        <v>0.08</v>
      </c>
      <c r="J41" s="4" t="inlineStr">
        <is>
          <t>🚨 Ruptura Logística</t>
        </is>
      </c>
      <c r="K41" s="27" t="inlineStr"/>
      <c r="L41" s="12" t="inlineStr">
        <is>
          <t>PREÇO POPULAR</t>
        </is>
      </c>
      <c r="M41" s="7" t="n">
        <v>83.92</v>
      </c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100008756</t>
        </is>
      </c>
      <c r="C42" s="17" t="inlineStr">
        <is>
          <t>LEITE NEOCATE LCP 400G DANONE</t>
        </is>
      </c>
      <c r="D42" s="18" t="n">
        <v>0</v>
      </c>
      <c r="E42" s="18" t="n">
        <v>211.68</v>
      </c>
      <c r="F42" s="19" t="n">
        <v>-211.68</v>
      </c>
      <c r="G42" s="20" t="n">
        <v>-1</v>
      </c>
      <c r="H42" s="21" t="n">
        <v>2</v>
      </c>
      <c r="I42" s="22" t="n">
        <v>0</v>
      </c>
      <c r="J42" s="15" t="inlineStr">
        <is>
          <t>🚨 Ruptura Logística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100003186</t>
        </is>
      </c>
      <c r="C43" s="6" t="inlineStr">
        <is>
          <t>NACTALI 75MG 84CP REV LIBBS</t>
        </is>
      </c>
      <c r="D43" s="7" t="n">
        <v>0</v>
      </c>
      <c r="E43" s="7" t="n">
        <v>209.37</v>
      </c>
      <c r="F43" s="8" t="n">
        <v>-209.37</v>
      </c>
      <c r="G43" s="9" t="n">
        <v>-1</v>
      </c>
      <c r="H43" s="10" t="n">
        <v>51</v>
      </c>
      <c r="I43" s="11" t="n">
        <v>0.04</v>
      </c>
      <c r="J43" s="4" t="inlineStr">
        <is>
          <t>🚨 Ruptura Logística</t>
        </is>
      </c>
      <c r="K43" s="7" t="n">
        <v>94.72</v>
      </c>
      <c r="L43" s="12" t="inlineStr">
        <is>
          <t>NISSEI</t>
        </is>
      </c>
      <c r="M43" s="7" t="n">
        <v>99.90000000000001</v>
      </c>
      <c r="N43" s="13" t="n">
        <v>-0.052</v>
      </c>
      <c r="O43" s="12" t="inlineStr">
        <is>
          <t>Líder de Preço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10040750</t>
        </is>
      </c>
      <c r="C44" s="17" t="inlineStr">
        <is>
          <t>WEGOVY 1MG 3ML NOVO NORDISK</t>
        </is>
      </c>
      <c r="D44" s="18" t="n">
        <v>999</v>
      </c>
      <c r="E44" s="18" t="n">
        <v>1200.59</v>
      </c>
      <c r="F44" s="19" t="n">
        <v>-201.59</v>
      </c>
      <c r="G44" s="20" t="n">
        <v>-0.168</v>
      </c>
      <c r="H44" s="21" t="n">
        <v>9</v>
      </c>
      <c r="I44" s="22" t="n">
        <v>0.01</v>
      </c>
      <c r="J44" s="15" t="inlineStr">
        <is>
          <t>🚨 Ruptura Logística</t>
        </is>
      </c>
      <c r="K44" s="18" t="n">
        <v>1298.54</v>
      </c>
      <c r="L44" s="24" t="inlineStr">
        <is>
          <t>PREÇO POPULAR</t>
        </is>
      </c>
      <c r="M44" s="18" t="n">
        <v>1298.54</v>
      </c>
      <c r="N44" s="29" t="n">
        <v>0</v>
      </c>
      <c r="O44" s="24" t="inlineStr">
        <is>
          <t>Preço Alinhado</t>
        </is>
      </c>
      <c r="P44" s="24" t="inlineStr">
        <is>
          <t>Neutro</t>
        </is>
      </c>
      <c r="Q44" s="26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10044679</t>
        </is>
      </c>
      <c r="C45" s="6" t="inlineStr">
        <is>
          <t>LISDEV 70MG 30CAP REV MOMENTA (A3)</t>
        </is>
      </c>
      <c r="D45" s="7" t="n">
        <v>0</v>
      </c>
      <c r="E45" s="7" t="n">
        <v>195.75</v>
      </c>
      <c r="F45" s="8" t="n">
        <v>-195.75</v>
      </c>
      <c r="G45" s="9" t="n">
        <v>-1</v>
      </c>
      <c r="H45" s="10" t="n">
        <v>0</v>
      </c>
      <c r="I45" s="11" t="n">
        <v>0</v>
      </c>
      <c r="J45" s="4" t="inlineStr">
        <is>
          <t>🚨 Ruptura Logística</t>
        </is>
      </c>
      <c r="K45" s="27" t="inlineStr"/>
      <c r="L45" s="12" t="inlineStr"/>
      <c r="M45" s="27" t="inlineStr"/>
      <c r="N45" s="28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10041082</t>
        </is>
      </c>
      <c r="C46" s="17" t="inlineStr">
        <is>
          <t>FR HUGGIES MAXIMA PROT HIPER XXXG 46UN</t>
        </is>
      </c>
      <c r="D46" s="18" t="n">
        <v>0</v>
      </c>
      <c r="E46" s="18" t="n">
        <v>192.39</v>
      </c>
      <c r="F46" s="19" t="n">
        <v>-192.39</v>
      </c>
      <c r="G46" s="20" t="n">
        <v>-1</v>
      </c>
      <c r="H46" s="21" t="n">
        <v>28</v>
      </c>
      <c r="I46" s="22" t="n">
        <v>0.02</v>
      </c>
      <c r="J46" s="15" t="inlineStr">
        <is>
          <t>🚨 Ruptura Logística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10102163</t>
        </is>
      </c>
      <c r="C47" s="6" t="inlineStr">
        <is>
          <t>QLAIRA 26CP+2CP REV BIOLAB</t>
        </is>
      </c>
      <c r="D47" s="7" t="n">
        <v>436.63</v>
      </c>
      <c r="E47" s="7" t="n">
        <v>614.05</v>
      </c>
      <c r="F47" s="8" t="n">
        <v>-177.42</v>
      </c>
      <c r="G47" s="9" t="n">
        <v>-0.289</v>
      </c>
      <c r="H47" s="10" t="n">
        <v>706</v>
      </c>
      <c r="I47" s="11" t="n">
        <v>0.5600000000000001</v>
      </c>
      <c r="J47" s="4" t="inlineStr">
        <is>
          <t>⚠️ Duplo Detrator</t>
        </is>
      </c>
      <c r="K47" s="7" t="n">
        <v>74.22</v>
      </c>
      <c r="L47" s="12" t="inlineStr">
        <is>
          <t>PREÇO POPULAR</t>
        </is>
      </c>
      <c r="M47" s="7" t="n">
        <v>55.67</v>
      </c>
      <c r="N47" s="30" t="n">
        <v>0.333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e Remanejar (Precopopular R$ 55.67)</t>
        </is>
      </c>
    </row>
    <row r="48" ht="20" customHeight="1">
      <c r="A48" s="15" t="n">
        <v>44</v>
      </c>
      <c r="B48" s="16" t="inlineStr">
        <is>
          <t>10038798</t>
        </is>
      </c>
      <c r="C48" s="17" t="inlineStr">
        <is>
          <t>GENOVA CABELOS E UNHAS 60CP EUROFARMA</t>
        </is>
      </c>
      <c r="D48" s="18" t="n">
        <v>0</v>
      </c>
      <c r="E48" s="18" t="n">
        <v>172.84</v>
      </c>
      <c r="F48" s="19" t="n">
        <v>-172.84</v>
      </c>
      <c r="G48" s="20" t="n">
        <v>-1</v>
      </c>
      <c r="H48" s="21" t="n">
        <v>6</v>
      </c>
      <c r="I48" s="22" t="n">
        <v>0</v>
      </c>
      <c r="J48" s="15" t="inlineStr">
        <is>
          <t>🚨 Ruptura Logística</t>
        </is>
      </c>
      <c r="K48" s="18" t="n">
        <v>180.79</v>
      </c>
      <c r="L48" s="24" t="inlineStr">
        <is>
          <t>AMAZON</t>
        </is>
      </c>
      <c r="M48" s="18" t="n">
        <v>175.9</v>
      </c>
      <c r="N48" s="31" t="n">
        <v>0.028</v>
      </c>
      <c r="O48" s="24" t="inlineStr">
        <is>
          <t>São João Mais Cara</t>
        </is>
      </c>
      <c r="P48" s="24" t="inlineStr">
        <is>
          <t>Neutro</t>
        </is>
      </c>
      <c r="Q48" s="26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10040748</t>
        </is>
      </c>
      <c r="C49" s="6" t="inlineStr">
        <is>
          <t>WEGOVY 0,5MG 1,5ML NOVO NORDISK</t>
        </is>
      </c>
      <c r="D49" s="7" t="n">
        <v>0</v>
      </c>
      <c r="E49" s="7" t="n">
        <v>167.39</v>
      </c>
      <c r="F49" s="8" t="n">
        <v>-167.39</v>
      </c>
      <c r="G49" s="9" t="n">
        <v>-1</v>
      </c>
      <c r="H49" s="10" t="n">
        <v>0</v>
      </c>
      <c r="I49" s="11" t="n">
        <v>0</v>
      </c>
      <c r="J49" s="4" t="inlineStr">
        <is>
          <t>🚨 Ruptura Logística</t>
        </is>
      </c>
      <c r="K49" s="7" t="n">
        <v>1298.54</v>
      </c>
      <c r="L49" s="12" t="inlineStr">
        <is>
          <t>PREÇO POPULAR</t>
        </is>
      </c>
      <c r="M49" s="7" t="n">
        <v>1298.54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10049066</t>
        </is>
      </c>
      <c r="C50" s="17" t="inlineStr">
        <is>
          <t>KIT DOVE SH 350+COND 175ML HIDRATACAO+HIALURON VIT</t>
        </is>
      </c>
      <c r="D50" s="18" t="n">
        <v>25.83</v>
      </c>
      <c r="E50" s="18" t="n">
        <v>186.77</v>
      </c>
      <c r="F50" s="19" t="n">
        <v>-160.94</v>
      </c>
      <c r="G50" s="20" t="n">
        <v>-0.862</v>
      </c>
      <c r="H50" s="21" t="n">
        <v>802</v>
      </c>
      <c r="I50" s="22" t="n">
        <v>0.64</v>
      </c>
      <c r="J50" s="15" t="inlineStr">
        <is>
          <t>🚨 Ruptura Logística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100011549</t>
        </is>
      </c>
      <c r="C51" s="6" t="inlineStr">
        <is>
          <t>NAN SUPREME 2 800G NESTLE</t>
        </is>
      </c>
      <c r="D51" s="7" t="n">
        <v>250.68</v>
      </c>
      <c r="E51" s="7" t="n">
        <v>410.13</v>
      </c>
      <c r="F51" s="8" t="n">
        <v>-159.45</v>
      </c>
      <c r="G51" s="9" t="n">
        <v>-0.389</v>
      </c>
      <c r="H51" s="10" t="n">
        <v>115</v>
      </c>
      <c r="I51" s="11" t="n">
        <v>0.09</v>
      </c>
      <c r="J51" s="4" t="inlineStr">
        <is>
          <t>🚨 Ruptura Logística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10097311</t>
        </is>
      </c>
      <c r="C52" s="17" t="inlineStr">
        <is>
          <t>NESTOGENO 1 800G NESTLE</t>
        </is>
      </c>
      <c r="D52" s="18" t="n">
        <v>263.99</v>
      </c>
      <c r="E52" s="18" t="n">
        <v>422.28</v>
      </c>
      <c r="F52" s="19" t="n">
        <v>-158.29</v>
      </c>
      <c r="G52" s="20" t="n">
        <v>-0.375</v>
      </c>
      <c r="H52" s="21" t="n">
        <v>209</v>
      </c>
      <c r="I52" s="22" t="n">
        <v>0.17</v>
      </c>
      <c r="J52" s="15" t="inlineStr">
        <is>
          <t>⚠️ Duplo Detrator</t>
        </is>
      </c>
      <c r="K52" s="18" t="n">
        <v>67.98999999999999</v>
      </c>
      <c r="L52" s="24" t="inlineStr">
        <is>
          <t>PREÇO POPULAR</t>
        </is>
      </c>
      <c r="M52" s="18" t="n">
        <v>62.9</v>
      </c>
      <c r="N52" s="31" t="n">
        <v>0.081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e Remanejar (Precopopular R$ 62.90)</t>
        </is>
      </c>
    </row>
    <row r="53" ht="20" customHeight="1">
      <c r="A53" s="4" t="n">
        <v>49</v>
      </c>
      <c r="B53" s="5" t="inlineStr">
        <is>
          <t>100011551</t>
        </is>
      </c>
      <c r="C53" s="6" t="inlineStr">
        <is>
          <t>ANDROGEL 50MG 10MG/G GEL 30ENV 5G</t>
        </is>
      </c>
      <c r="D53" s="7" t="n">
        <v>0</v>
      </c>
      <c r="E53" s="7" t="n">
        <v>156.98</v>
      </c>
      <c r="F53" s="8" t="n">
        <v>-156.98</v>
      </c>
      <c r="G53" s="9" t="n">
        <v>-1</v>
      </c>
      <c r="H53" s="10" t="n">
        <v>2</v>
      </c>
      <c r="I53" s="11" t="n">
        <v>0</v>
      </c>
      <c r="J53" s="4" t="inlineStr">
        <is>
          <t>⚠️ Duplo Detrator</t>
        </is>
      </c>
      <c r="K53" s="7" t="n">
        <v>343.63</v>
      </c>
      <c r="L53" s="12" t="inlineStr">
        <is>
          <t>NISSEI</t>
        </is>
      </c>
      <c r="M53" s="7" t="n">
        <v>301.16</v>
      </c>
      <c r="N53" s="30" t="n">
        <v>0.141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e Remanejar (Farmaciasnissei R$ 301.16)</t>
        </is>
      </c>
    </row>
    <row r="54" ht="20" customHeight="1">
      <c r="A54" s="15" t="n">
        <v>50</v>
      </c>
      <c r="B54" s="16" t="inlineStr">
        <is>
          <t>10040738</t>
        </is>
      </c>
      <c r="C54" s="17" t="inlineStr">
        <is>
          <t>LYBERDIA 40MG 50ML GOTAS EMS (A3)</t>
        </is>
      </c>
      <c r="D54" s="18" t="n">
        <v>0</v>
      </c>
      <c r="E54" s="18" t="n">
        <v>155.76</v>
      </c>
      <c r="F54" s="19" t="n">
        <v>-155.76</v>
      </c>
      <c r="G54" s="20" t="n">
        <v>-1</v>
      </c>
      <c r="H54" s="21" t="n">
        <v>24</v>
      </c>
      <c r="I54" s="22" t="n">
        <v>0.02</v>
      </c>
      <c r="J54" s="15" t="inlineStr">
        <is>
          <t>🚨 Ruptura Logística</t>
        </is>
      </c>
      <c r="K54" s="18" t="n">
        <v>567.02</v>
      </c>
      <c r="L54" s="24" t="inlineStr">
        <is>
          <t>PANVEL</t>
        </is>
      </c>
      <c r="M54" s="18" t="n">
        <v>567.02</v>
      </c>
      <c r="N54" s="29" t="n">
        <v>0</v>
      </c>
      <c r="O54" s="24" t="inlineStr">
        <is>
          <t>Preço Alinhado</t>
        </is>
      </c>
      <c r="P54" s="24" t="inlineStr">
        <is>
          <t>Neutro</t>
        </is>
      </c>
      <c r="Q54" s="26" t="inlineStr">
        <is>
          <t>Abastecimento Emergencial Lojas/CD</t>
        </is>
      </c>
    </row>
    <row r="55" ht="24" customHeight="1">
      <c r="A55" s="32" t="inlineStr">
        <is>
          <t>TOTAL TOP 50</t>
        </is>
      </c>
      <c r="B55" s="33" t="n"/>
      <c r="C55" s="33" t="n"/>
      <c r="D55" s="34">
        <f>SUM(D5:D54)</f>
        <v/>
      </c>
      <c r="E55" s="34">
        <f>SUM(E5:E54)</f>
        <v/>
      </c>
      <c r="F55" s="35">
        <f>SUM(F5:F54)</f>
        <v/>
      </c>
      <c r="G55" s="36">
        <f>(D55-E55)/E55</f>
        <v/>
      </c>
      <c r="H55" s="37" t="n"/>
      <c r="I55" s="37" t="inlineStr"/>
      <c r="J55" s="37" t="inlineStr"/>
      <c r="K55" s="37" t="inlineStr"/>
      <c r="L55" s="37" t="inlineStr"/>
      <c r="M55" s="37" t="inlineStr"/>
      <c r="N55" s="37" t="inlineStr"/>
      <c r="O55" s="37" t="inlineStr"/>
      <c r="P55" s="37" t="inlineStr"/>
      <c r="Q55" s="37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2026-09-09T14:50:58Z</dcterms:created>
  <dcterms:modified xmlns:dcterms="http://purl.org/dc/terms/" xmlns:xsi="http://www.w3.org/2001/XMLSchema-instance" xsi:type="dcterms:W3CDTF">2026-09-09T14:50:58Z</dcterms:modified>
</cp:coreProperties>
</file>