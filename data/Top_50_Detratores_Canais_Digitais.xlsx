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01:32:50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0</v>
      </c>
      <c r="I5" s="11" t="n">
        <v>0</v>
      </c>
      <c r="J5" s="4" t="inlineStr">
        <is>
          <t>🚨 Ruptura Logística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Abastecimento Emergencial Lojas/CD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0</v>
      </c>
      <c r="I6" s="22" t="n">
        <v>0</v>
      </c>
      <c r="J6" s="15" t="inlineStr">
        <is>
          <t>🚨 Ruptura Logística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21</v>
      </c>
      <c r="I7" s="11" t="n">
        <v>0.02</v>
      </c>
      <c r="J7" s="4" t="inlineStr">
        <is>
          <t>🚨 Ruptura Logística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Abastecimento Emergencial Lojas/CD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0</v>
      </c>
      <c r="I8" s="22" t="n">
        <v>0</v>
      </c>
      <c r="J8" s="15" t="inlineStr">
        <is>
          <t>🚨 Ruptura Logística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Abastecimento Emergencial Lojas/CD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3</v>
      </c>
      <c r="I9" s="11" t="n">
        <v>0</v>
      </c>
      <c r="J9" s="4" t="inlineStr">
        <is>
          <t>🚨 Ruptura Logística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Abastecimento Emergencial Lojas/CD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0</v>
      </c>
      <c r="I10" s="22" t="n">
        <v>0</v>
      </c>
      <c r="J10" s="15" t="inlineStr">
        <is>
          <t>🚨 Ruptura Logística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Abastecimento Emergencial Lojas/CD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0</v>
      </c>
      <c r="I11" s="11" t="n">
        <v>0</v>
      </c>
      <c r="J11" s="4" t="inlineStr">
        <is>
          <t>🚨 Ruptura Logística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0</v>
      </c>
      <c r="I12" s="22" t="n">
        <v>0</v>
      </c>
      <c r="J12" s="15" t="inlineStr">
        <is>
          <t>🚨 Ruptura Logística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0</v>
      </c>
      <c r="I13" s="11" t="n">
        <v>0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0</v>
      </c>
      <c r="I14" s="22" t="n">
        <v>0</v>
      </c>
      <c r="J14" s="15" t="inlineStr">
        <is>
          <t>🚨 Ruptura Logística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8</v>
      </c>
      <c r="I15" s="11" t="n">
        <v>0.01</v>
      </c>
      <c r="J15" s="4" t="inlineStr">
        <is>
          <t>🚨 Ruptura Logística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52</v>
      </c>
      <c r="I16" s="22" t="n">
        <v>0.04</v>
      </c>
      <c r="J16" s="15" t="inlineStr">
        <is>
          <t>⚠️ Duplo Detrator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0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e Remanejar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4</v>
      </c>
      <c r="I17" s="11" t="n">
        <v>0</v>
      </c>
      <c r="J17" s="4" t="inlineStr">
        <is>
          <t>🚨 Ruptura Logística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0</v>
      </c>
      <c r="I18" s="22" t="n">
        <v>0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6</v>
      </c>
      <c r="I19" s="11" t="n">
        <v>0</v>
      </c>
      <c r="J19" s="4" t="inlineStr">
        <is>
          <t>🚨 Ruptura Logística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21.7</v>
      </c>
      <c r="E20" s="18" t="n">
        <v>66.20999999999999</v>
      </c>
      <c r="F20" s="19" t="n">
        <v>-44.51</v>
      </c>
      <c r="G20" s="20" t="n">
        <v>-0.672</v>
      </c>
      <c r="H20" s="21" t="n">
        <v>0</v>
      </c>
      <c r="I20" s="22" t="n">
        <v>0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0</v>
      </c>
      <c r="I21" s="11" t="n">
        <v>0</v>
      </c>
      <c r="J21" s="4" t="inlineStr">
        <is>
          <t>🚨 Ruptura Logística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38.27</v>
      </c>
      <c r="F22" s="19" t="n">
        <v>-38.27</v>
      </c>
      <c r="G22" s="20" t="n">
        <v>-1</v>
      </c>
      <c r="H22" s="21" t="n">
        <v>0</v>
      </c>
      <c r="I22" s="22" t="n">
        <v>0</v>
      </c>
      <c r="J22" s="15" t="inlineStr">
        <is>
          <t>🚨 Ruptura Logística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35.11</v>
      </c>
      <c r="F23" s="8" t="n">
        <v>-35.11</v>
      </c>
      <c r="G23" s="9" t="n">
        <v>-1</v>
      </c>
      <c r="H23" s="10" t="n">
        <v>2</v>
      </c>
      <c r="I23" s="11" t="n">
        <v>0</v>
      </c>
      <c r="J23" s="4" t="inlineStr">
        <is>
          <t>🚨 Ruptura Logística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0</v>
      </c>
      <c r="E24" s="18" t="n">
        <v>34.97</v>
      </c>
      <c r="F24" s="19" t="n">
        <v>-34.97</v>
      </c>
      <c r="G24" s="20" t="n">
        <v>-1</v>
      </c>
      <c r="H24" s="21" t="n">
        <v>0</v>
      </c>
      <c r="I24" s="22" t="n">
        <v>0</v>
      </c>
      <c r="J24" s="15" t="inlineStr">
        <is>
          <t>🚨 Ruptura Logística</t>
        </is>
      </c>
      <c r="K24" s="18" t="n">
        <v>1298.54</v>
      </c>
      <c r="L24" s="23" t="inlineStr">
        <is>
          <t>PREÇO POPULAR</t>
        </is>
      </c>
      <c r="M24" s="18" t="n">
        <v>1298.54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0</v>
      </c>
      <c r="E25" s="7" t="n">
        <v>32.91</v>
      </c>
      <c r="F25" s="8" t="n">
        <v>-32.91</v>
      </c>
      <c r="G25" s="9" t="n">
        <v>-1</v>
      </c>
      <c r="H25" s="10" t="n">
        <v>0</v>
      </c>
      <c r="I25" s="11" t="n">
        <v>0</v>
      </c>
      <c r="J25" s="4" t="inlineStr">
        <is>
          <t>🚨 Ruptura Logística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0</v>
      </c>
      <c r="I26" s="22" t="n">
        <v>0</v>
      </c>
      <c r="J26" s="15" t="inlineStr">
        <is>
          <t>⚠️ Duplo Detrator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0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e Remanejar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29</v>
      </c>
      <c r="I27" s="11" t="n">
        <v>0.02</v>
      </c>
      <c r="J27" s="4" t="inlineStr">
        <is>
          <t>⚠️ Duplo Detrator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1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e Remanejar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0</v>
      </c>
      <c r="I28" s="22" t="n">
        <v>0</v>
      </c>
      <c r="J28" s="15" t="inlineStr">
        <is>
          <t>🚨 Ruptura Logística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92</v>
      </c>
      <c r="I29" s="11" t="n">
        <v>0.07000000000000001</v>
      </c>
      <c r="J29" s="4" t="inlineStr">
        <is>
          <t>🚨 Ruptura Logística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0</v>
      </c>
      <c r="I30" s="22" t="n">
        <v>0</v>
      </c>
      <c r="J30" s="15" t="inlineStr">
        <is>
          <t>🚨 Ruptura Logística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0</v>
      </c>
      <c r="I31" s="11" t="n">
        <v>0</v>
      </c>
      <c r="J31" s="4" t="inlineStr">
        <is>
          <t>🚨 Ruptura Logística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16</v>
      </c>
      <c r="I32" s="22" t="n">
        <v>0.01</v>
      </c>
      <c r="J32" s="15" t="inlineStr">
        <is>
          <t>🚨 Ruptura Logística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0</v>
      </c>
      <c r="I33" s="11" t="n">
        <v>0</v>
      </c>
      <c r="J33" s="4" t="inlineStr">
        <is>
          <t>🚨 Ruptura Logística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0</v>
      </c>
      <c r="I34" s="22" t="n">
        <v>0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0</v>
      </c>
      <c r="I35" s="11" t="n">
        <v>0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0</v>
      </c>
      <c r="I36" s="22" t="n">
        <v>0</v>
      </c>
      <c r="J36" s="15" t="inlineStr">
        <is>
          <t>🚨 Ruptura Logística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0</v>
      </c>
      <c r="I37" s="11" t="n">
        <v>0</v>
      </c>
      <c r="J37" s="4" t="inlineStr">
        <is>
          <t>🚨 Ruptura Logística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0</v>
      </c>
      <c r="I38" s="22" t="n">
        <v>0</v>
      </c>
      <c r="J38" s="15" t="inlineStr">
        <is>
          <t>🚨 Ruptura Logística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0</v>
      </c>
      <c r="I39" s="11" t="n">
        <v>0</v>
      </c>
      <c r="J39" s="4" t="inlineStr">
        <is>
          <t>⚠️ Duplo Detrator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1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e Remanejar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0</v>
      </c>
      <c r="I40" s="22" t="n">
        <v>0</v>
      </c>
      <c r="J40" s="15" t="inlineStr">
        <is>
          <t>⚠️ Duplo Detrator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0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e Remanejar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0</v>
      </c>
      <c r="I41" s="11" t="n">
        <v>0</v>
      </c>
      <c r="J41" s="4" t="inlineStr">
        <is>
          <t>🚨 Ruptura Logística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28</v>
      </c>
      <c r="I42" s="22" t="n">
        <v>0.02</v>
      </c>
      <c r="J42" s="15" t="inlineStr">
        <is>
          <t>🚨 Ruptura Logística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0</v>
      </c>
      <c r="I43" s="11" t="n">
        <v>0</v>
      </c>
      <c r="J43" s="4" t="inlineStr">
        <is>
          <t>⚠️ Duplo Detrator</t>
        </is>
      </c>
      <c r="K43" s="7" t="n">
        <v>218.67</v>
      </c>
      <c r="L43" s="12" t="inlineStr">
        <is>
          <t>NISSEI</t>
        </is>
      </c>
      <c r="M43" s="7" t="n">
        <v>197.18</v>
      </c>
      <c r="N43" s="31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e Remanejar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0</v>
      </c>
      <c r="I44" s="22" t="n">
        <v>0</v>
      </c>
      <c r="J44" s="15" t="inlineStr">
        <is>
          <t>🚨 Ruptura Logística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2</v>
      </c>
      <c r="I45" s="11" t="n">
        <v>0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1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16</v>
      </c>
      <c r="I46" s="22" t="n">
        <v>0.01</v>
      </c>
      <c r="J46" s="15" t="inlineStr">
        <is>
          <t>⚠️ Duplo Detrator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0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e Remanejar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0</v>
      </c>
      <c r="I47" s="11" t="n">
        <v>0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0</v>
      </c>
      <c r="I48" s="22" t="n">
        <v>0</v>
      </c>
      <c r="J48" s="15" t="inlineStr">
        <is>
          <t>⚠️ Duplo Detrator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0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e Remanejar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8</v>
      </c>
      <c r="I49" s="11" t="n">
        <v>0.01</v>
      </c>
      <c r="J49" s="4" t="inlineStr">
        <is>
          <t>⚠️ Duplo Detrator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1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e Remanejar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0</v>
      </c>
      <c r="I50" s="22" t="n">
        <v>0</v>
      </c>
      <c r="J50" s="15" t="inlineStr">
        <is>
          <t>🚨 Ruptura Logística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0</v>
      </c>
      <c r="I51" s="11" t="n">
        <v>0</v>
      </c>
      <c r="J51" s="4" t="inlineStr">
        <is>
          <t>🚨 Ruptura Logística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Abastecimento Emergencial Lojas/CD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0</v>
      </c>
      <c r="I52" s="22" t="n">
        <v>0</v>
      </c>
      <c r="J52" s="15" t="inlineStr">
        <is>
          <t>⚠️ Duplo Detrator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0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e Remanejar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0</v>
      </c>
      <c r="I53" s="11" t="n">
        <v>0</v>
      </c>
      <c r="J53" s="4" t="inlineStr">
        <is>
          <t>⚠️ Duplo Detrator</t>
        </is>
      </c>
      <c r="K53" s="7" t="n">
        <v>38.9</v>
      </c>
      <c r="L53" s="12" t="inlineStr">
        <is>
          <t>PANVEL</t>
        </is>
      </c>
      <c r="M53" s="7" t="n">
        <v>35.9</v>
      </c>
      <c r="N53" s="31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e Remanejar (Panvel R$ 35.90)</t>
        </is>
      </c>
    </row>
    <row r="54" ht="20" customHeight="1">
      <c r="A54" s="15" t="n">
        <v>50</v>
      </c>
      <c r="B54" s="16" t="inlineStr">
        <is>
          <t>10038743</t>
        </is>
      </c>
      <c r="C54" s="17" t="inlineStr">
        <is>
          <t>FR PAMPERS CONFORTSEC BAG SUPER XXXG 44U</t>
        </is>
      </c>
      <c r="D54" s="18" t="n">
        <v>0</v>
      </c>
      <c r="E54" s="18" t="n">
        <v>16.55</v>
      </c>
      <c r="F54" s="19" t="n">
        <v>-16.55</v>
      </c>
      <c r="G54" s="20" t="n">
        <v>-1</v>
      </c>
      <c r="H54" s="21" t="n">
        <v>1</v>
      </c>
      <c r="I54" s="22" t="n">
        <v>0</v>
      </c>
      <c r="J54" s="15" t="inlineStr">
        <is>
          <t>🚨 Ruptura Logística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2" t="inlineStr">
        <is>
          <t>TOTAL TOP 50</t>
        </is>
      </c>
      <c r="B55" s="33" t="n"/>
      <c r="C55" s="33" t="n"/>
      <c r="D55" s="34">
        <f>SUM(D5:D54)</f>
        <v/>
      </c>
      <c r="E55" s="34">
        <f>SUM(E5:E54)</f>
        <v/>
      </c>
      <c r="F55" s="35">
        <f>SUM(F5:F54)</f>
        <v/>
      </c>
      <c r="G55" s="36">
        <f>(D55-E55)/E55</f>
        <v/>
      </c>
      <c r="H55" s="37" t="n"/>
      <c r="I55" s="37" t="inlineStr"/>
      <c r="J55" s="37" t="inlineStr"/>
      <c r="K55" s="37" t="inlineStr"/>
      <c r="L55" s="37" t="inlineStr"/>
      <c r="M55" s="37" t="inlineStr"/>
      <c r="N55" s="37" t="inlineStr"/>
      <c r="O55" s="37" t="inlineStr"/>
      <c r="P55" s="37" t="inlineStr"/>
      <c r="Q55" s="37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2026-09-09T06:13:48Z</dcterms:created>
  <dcterms:modified xmlns:dcterms="http://purl.org/dc/terms/" xmlns:xsi="http://www.w3.org/2001/XMLSchema-instance" xsi:type="dcterms:W3CDTF">2026-09-09T06:13:48Z</dcterms:modified>
</cp:coreProperties>
</file>