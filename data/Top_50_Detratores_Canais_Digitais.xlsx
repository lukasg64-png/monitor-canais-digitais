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Detra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"/>
    <numFmt numFmtId="165" formatCode="&quot;R$&quot; #,##0.00;[Red]-&quot;R$&quot; #,##0.00"/>
    <numFmt numFmtId="166" formatCode="0.0%"/>
    <numFmt numFmtId="167" formatCode="+0.0%;-0.0%;&quot;0.0%&quot;"/>
  </numFmts>
  <fonts count="12">
    <font>
      <name val="Calibri"/>
      <family val="2"/>
      <color theme="1"/>
      <sz val="11"/>
      <scheme val="minor"/>
    </font>
    <font>
      <name val="Segoe UI"/>
      <b val="1"/>
      <color rgb="001A365D"/>
      <sz val="14"/>
    </font>
    <font>
      <name val="Segoe UI"/>
      <i val="1"/>
      <color rgb="004A5568"/>
      <sz val="9.5"/>
    </font>
    <font>
      <name val="Segoe UI"/>
      <b val="1"/>
      <color rgb="00FFFFFF"/>
      <sz val="10"/>
    </font>
    <font>
      <name val="Segoe UI"/>
      <b val="1"/>
      <sz val="9.5"/>
    </font>
    <font>
      <name val="Consolas"/>
      <b val="1"/>
      <color rgb="002B6CB0"/>
      <sz val="10"/>
    </font>
    <font>
      <name val="Segoe UI"/>
      <sz val="9.5"/>
    </font>
    <font>
      <name val="Segoe UI"/>
      <b val="1"/>
      <color rgb="00C53030"/>
      <sz val="9.5"/>
    </font>
    <font>
      <name val="Segoe UI"/>
      <b val="1"/>
      <color rgb="0022543D"/>
      <sz val="9.5"/>
    </font>
    <font>
      <name val="Segoe UI"/>
      <b val="1"/>
      <color rgb="001A365D"/>
      <sz val="10"/>
    </font>
    <font>
      <name val="Segoe UI"/>
      <b val="1"/>
      <sz val="10"/>
    </font>
    <font>
      <name val="Segoe UI"/>
      <b val="1"/>
      <color rgb="00C53030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</fills>
  <borders count="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0"/>
      </left>
      <right style="thin">
        <color rgb="00CBD5E0"/>
      </right>
      <top style="thin">
        <color rgb="004A5568"/>
      </top>
      <bottom style="double">
        <color rgb="001A365D"/>
      </bottom>
    </border>
    <border>
      <left/>
      <right/>
      <top style="thin">
        <color rgb="004A5568"/>
      </top>
      <bottom/>
      <diagonal/>
    </border>
    <border>
      <left/>
      <right style="thin">
        <color rgb="00CBD5E0"/>
      </right>
      <top style="thin">
        <color rgb="004A5568"/>
      </top>
      <bottom/>
      <diagonal/>
    </border>
    <border>
      <left/>
      <right/>
      <top style="thin">
        <color rgb="004A5568"/>
      </top>
      <bottom style="double">
        <color rgb="001A365D"/>
      </bottom>
      <diagonal/>
    </border>
    <border>
      <left/>
      <right style="thin">
        <color rgb="00CBD5E0"/>
      </right>
      <top style="thin">
        <color rgb="004A5568"/>
      </top>
      <bottom style="double">
        <color rgb="001A365D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49" fontId="5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6" fillId="3" borderId="1" applyAlignment="1" pivotButton="0" quotePrefix="0" xfId="0">
      <alignment horizontal="right"/>
    </xf>
    <xf numFmtId="165" fontId="7" fillId="3" borderId="1" applyAlignment="1" pivotButton="0" quotePrefix="0" xfId="0">
      <alignment horizontal="right"/>
    </xf>
    <xf numFmtId="166" fontId="7" fillId="3" borderId="1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167" fontId="8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49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6" fontId="7" fillId="4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2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167" fontId="7" fillId="4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8" fillId="3" borderId="1" applyAlignment="1" pivotButton="0" quotePrefix="0" xfId="0">
      <alignment horizontal="right"/>
    </xf>
    <xf numFmtId="167" fontId="8" fillId="4" borderId="1" applyAlignment="1" pivotButton="0" quotePrefix="0" xfId="0">
      <alignment horizontal="right"/>
    </xf>
    <xf numFmtId="167" fontId="7" fillId="3" borderId="1" applyAlignment="1" pivotButton="0" quotePrefix="0" xfId="0">
      <alignment horizontal="right"/>
    </xf>
    <xf numFmtId="2" fontId="4" fillId="4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0" fontId="9" fillId="5" borderId="2" applyAlignment="1" pivotButton="0" quotePrefix="0" xfId="0">
      <alignment horizontal="center"/>
    </xf>
    <xf numFmtId="0" fontId="0" fillId="5" borderId="2" pivotButton="0" quotePrefix="0" xfId="0"/>
    <xf numFmtId="164" fontId="0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0" fontId="1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2" customWidth="1" min="3" max="3"/>
    <col width="17" customWidth="1" min="4" max="4"/>
    <col width="17" customWidth="1" min="5" max="5"/>
    <col width="18" customWidth="1" min="6" max="6"/>
    <col width="15" customWidth="1" min="7" max="7"/>
    <col width="15" customWidth="1" min="8" max="8"/>
    <col width="17" customWidth="1" min="9" max="9"/>
    <col width="24" customWidth="1" min="10" max="10"/>
    <col width="16" customWidth="1" min="11" max="11"/>
    <col width="18" customWidth="1" min="12" max="12"/>
    <col width="18" customWidth="1" min="13" max="13"/>
    <col width="14" customWidth="1" min="14" max="14"/>
    <col width="22" customWidth="1" min="15" max="15"/>
    <col width="20" customWidth="1" min="16" max="16"/>
    <col width="34" customWidth="1" min="17" max="17"/>
  </cols>
  <sheetData>
    <row r="1" ht="24" customHeight="1">
      <c r="A1" s="1" t="inlineStr">
        <is>
          <t>FARMÁCIAS SÃO JOÃO — RELATÓRIO EXECUTIVO: TOP 50 DETRATORES DE VENDAS</t>
        </is>
      </c>
    </row>
    <row r="2" ht="18" customHeight="1">
      <c r="A2" s="2" t="inlineStr">
        <is>
          <t>Canais Digitais (App, Site, Marketplace) • Horário de Corte: 17/09/2026 13:20:16 (13:20) • Tríade Estoque x Preço x Demanda</t>
        </is>
      </c>
    </row>
    <row r="3" ht="10" customHeight="1"/>
    <row r="4" ht="26" customHeight="1">
      <c r="A4" s="3" t="inlineStr">
        <is>
          <t>Ranking</t>
        </is>
      </c>
      <c r="B4" s="3" t="inlineStr">
        <is>
          <t>Código SKU</t>
        </is>
      </c>
      <c r="C4" s="3" t="inlineStr">
        <is>
          <t>Produto / Descrição</t>
        </is>
      </c>
      <c r="D4" s="3" t="inlineStr">
        <is>
          <t>Hoje Realizado</t>
        </is>
      </c>
      <c r="E4" s="3" t="inlineStr">
        <is>
          <t>Esperado D-7</t>
        </is>
      </c>
      <c r="F4" s="3" t="inlineStr">
        <is>
          <t>GAP vs D-7 (R$)</t>
        </is>
      </c>
      <c r="G4" s="3" t="inlineStr">
        <is>
          <t>GAP vs D-7 (%)</t>
        </is>
      </c>
      <c r="H4" s="3" t="inlineStr">
        <is>
          <t>Estoque Rede</t>
        </is>
      </c>
      <c r="I4" s="3" t="inlineStr">
        <is>
          <t>Densidade (un/lj)</t>
        </is>
      </c>
      <c r="J4" s="3" t="inlineStr">
        <is>
          <t>Causa-Raiz Diagnóstico</t>
        </is>
      </c>
      <c r="K4" s="3" t="inlineStr">
        <is>
          <t>Preço São João</t>
        </is>
      </c>
      <c r="L4" s="3" t="inlineStr">
        <is>
          <t>Menor Concorrente</t>
        </is>
      </c>
      <c r="M4" s="3" t="inlineStr">
        <is>
          <t>Preço Concorrência</t>
        </is>
      </c>
      <c r="N4" s="3" t="inlineStr">
        <is>
          <t>Spread (%)</t>
        </is>
      </c>
      <c r="O4" s="3" t="inlineStr">
        <is>
          <t>Status Concorrência</t>
        </is>
      </c>
      <c r="P4" s="3" t="inlineStr">
        <is>
          <t>Classificação</t>
        </is>
      </c>
      <c r="Q4" s="3" t="inlineStr">
        <is>
          <t>Ação Recomendada</t>
        </is>
      </c>
    </row>
    <row r="5" ht="20" customHeight="1">
      <c r="A5" s="4" t="n">
        <v>1</v>
      </c>
      <c r="B5" s="5" t="inlineStr">
        <is>
          <t>10001064</t>
        </is>
      </c>
      <c r="C5" s="6" t="inlineStr">
        <is>
          <t>FR PAMPERS CONFORTSEC BAG SUPER XXG 56UN</t>
        </is>
      </c>
      <c r="D5" s="7" t="n">
        <v>2478.86</v>
      </c>
      <c r="E5" s="7" t="n">
        <v>11087.44</v>
      </c>
      <c r="F5" s="8" t="n">
        <v>-8608.58</v>
      </c>
      <c r="G5" s="9" t="n">
        <v>-0.7759999999999999</v>
      </c>
      <c r="H5" s="10" t="n">
        <v>691926</v>
      </c>
      <c r="I5" s="11" t="n">
        <v>549.58</v>
      </c>
      <c r="J5" s="4" t="inlineStr">
        <is>
          <t>📉 Demanda Normal</t>
        </is>
      </c>
      <c r="K5" s="7" t="n">
        <v>77.90000000000001</v>
      </c>
      <c r="L5" s="12" t="inlineStr">
        <is>
          <t>PREÇO POPULAR</t>
        </is>
      </c>
      <c r="M5" s="7" t="n">
        <v>89.90000000000001</v>
      </c>
      <c r="N5" s="13" t="n">
        <v>-0.133</v>
      </c>
      <c r="O5" s="12" t="inlineStr">
        <is>
          <t>Líder de Preço</t>
        </is>
      </c>
      <c r="P5" s="12" t="inlineStr">
        <is>
          <t>Detrator Crítico</t>
        </is>
      </c>
      <c r="Q5" s="14" t="inlineStr">
        <is>
          <t>Ação Promocional / Destaque Home</t>
        </is>
      </c>
    </row>
    <row r="6" ht="20" customHeight="1">
      <c r="A6" s="15" t="n">
        <v>2</v>
      </c>
      <c r="B6" s="16" t="inlineStr">
        <is>
          <t>10050032</t>
        </is>
      </c>
      <c r="C6" s="17" t="inlineStr">
        <is>
          <t>MASC CAB DOVE 250G UV REPAIR</t>
        </is>
      </c>
      <c r="D6" s="18" t="n">
        <v>38.74</v>
      </c>
      <c r="E6" s="18" t="n">
        <v>8495.07</v>
      </c>
      <c r="F6" s="19" t="n">
        <v>-8456.33</v>
      </c>
      <c r="G6" s="20" t="n">
        <v>-0.995</v>
      </c>
      <c r="H6" s="21" t="n">
        <v>4915</v>
      </c>
      <c r="I6" s="22" t="n">
        <v>3.9</v>
      </c>
      <c r="J6" s="15" t="inlineStr">
        <is>
          <t>📉 Demanda Normal</t>
        </is>
      </c>
      <c r="K6" s="23" t="inlineStr"/>
      <c r="L6" s="24" t="inlineStr"/>
      <c r="M6" s="23" t="inlineStr"/>
      <c r="N6" s="25" t="inlineStr"/>
      <c r="O6" s="24" t="inlineStr">
        <is>
          <t>Não Monitorado</t>
        </is>
      </c>
      <c r="P6" s="24" t="inlineStr">
        <is>
          <t>Detrator Crítico</t>
        </is>
      </c>
      <c r="Q6" s="26" t="inlineStr">
        <is>
          <t>Ação Promocional / Destaque Home</t>
        </is>
      </c>
    </row>
    <row r="7" ht="20" customHeight="1">
      <c r="A7" s="4" t="n">
        <v>3</v>
      </c>
      <c r="B7" s="5" t="inlineStr">
        <is>
          <t>10040802</t>
        </is>
      </c>
      <c r="C7" s="6" t="inlineStr">
        <is>
          <t>WEGOVY 2,4MG 3ML NOVO NORDISK</t>
        </is>
      </c>
      <c r="D7" s="7" t="n">
        <v>1749</v>
      </c>
      <c r="E7" s="7" t="n">
        <v>9712.99</v>
      </c>
      <c r="F7" s="8" t="n">
        <v>-7963.99</v>
      </c>
      <c r="G7" s="9" t="n">
        <v>-0.82</v>
      </c>
      <c r="H7" s="10" t="n">
        <v>4748</v>
      </c>
      <c r="I7" s="11" t="n">
        <v>3.77</v>
      </c>
      <c r="J7" s="4" t="inlineStr">
        <is>
          <t>📉 Demanda Normal</t>
        </is>
      </c>
      <c r="K7" s="7" t="n">
        <v>2501.8</v>
      </c>
      <c r="L7" s="12" t="inlineStr">
        <is>
          <t>PREÇO POPULAR</t>
        </is>
      </c>
      <c r="M7" s="7" t="n">
        <v>2501.8</v>
      </c>
      <c r="N7" s="13" t="n">
        <v>0</v>
      </c>
      <c r="O7" s="12" t="inlineStr">
        <is>
          <t>Preço Alinhado</t>
        </is>
      </c>
      <c r="P7" s="12" t="inlineStr">
        <is>
          <t>Detrator Crítico</t>
        </is>
      </c>
      <c r="Q7" s="14" t="inlineStr">
        <is>
          <t>Push CRM / Recompra 30d no App</t>
        </is>
      </c>
    </row>
    <row r="8" ht="20" customHeight="1">
      <c r="A8" s="15" t="n">
        <v>4</v>
      </c>
      <c r="B8" s="16" t="inlineStr">
        <is>
          <t>10050017</t>
        </is>
      </c>
      <c r="C8" s="17" t="inlineStr">
        <is>
          <t>SH DOVE 600ML UV REPAIR</t>
        </is>
      </c>
      <c r="D8" s="18" t="n">
        <v>236.72</v>
      </c>
      <c r="E8" s="18" t="n">
        <v>6514.1</v>
      </c>
      <c r="F8" s="19" t="n">
        <v>-6277.38</v>
      </c>
      <c r="G8" s="20" t="n">
        <v>-0.9640000000000001</v>
      </c>
      <c r="H8" s="21" t="n">
        <v>7508</v>
      </c>
      <c r="I8" s="22" t="n">
        <v>5.96</v>
      </c>
      <c r="J8" s="15" t="inlineStr">
        <is>
          <t>🏷️ Preço Desalinhado</t>
        </is>
      </c>
      <c r="K8" s="18" t="n">
        <v>33.9</v>
      </c>
      <c r="L8" s="24" t="inlineStr">
        <is>
          <t>AMAZON</t>
        </is>
      </c>
      <c r="M8" s="18" t="n">
        <v>28.54</v>
      </c>
      <c r="N8" s="27" t="n">
        <v>0.188</v>
      </c>
      <c r="O8" s="24" t="inlineStr">
        <is>
          <t>São João Mais Cara</t>
        </is>
      </c>
      <c r="P8" s="24" t="inlineStr">
        <is>
          <t>Detrator Crítico</t>
        </is>
      </c>
      <c r="Q8" s="17" t="inlineStr">
        <is>
          <t>Reprecificar no Digital (Amazon R$ 28.54)</t>
        </is>
      </c>
    </row>
    <row r="9" ht="20" customHeight="1">
      <c r="A9" s="4" t="n">
        <v>5</v>
      </c>
      <c r="B9" s="5" t="inlineStr">
        <is>
          <t>10050031</t>
        </is>
      </c>
      <c r="C9" s="6" t="inlineStr">
        <is>
          <t>COND DOVE 600ML UV REPAIR</t>
        </is>
      </c>
      <c r="D9" s="7" t="n">
        <v>100.31</v>
      </c>
      <c r="E9" s="7" t="n">
        <v>6341.81</v>
      </c>
      <c r="F9" s="8" t="n">
        <v>-6241.5</v>
      </c>
      <c r="G9" s="9" t="n">
        <v>-0.9840000000000001</v>
      </c>
      <c r="H9" s="10" t="n">
        <v>15395</v>
      </c>
      <c r="I9" s="11" t="n">
        <v>12.23</v>
      </c>
      <c r="J9" s="4" t="inlineStr">
        <is>
          <t>📉 Demanda Normal</t>
        </is>
      </c>
      <c r="K9" s="28" t="inlineStr"/>
      <c r="L9" s="12" t="inlineStr"/>
      <c r="M9" s="28" t="inlineStr"/>
      <c r="N9" s="29" t="inlineStr"/>
      <c r="O9" s="12" t="inlineStr">
        <is>
          <t>Não Monitorado</t>
        </is>
      </c>
      <c r="P9" s="12" t="inlineStr">
        <is>
          <t>Detrator Crítico</t>
        </is>
      </c>
      <c r="Q9" s="14" t="inlineStr">
        <is>
          <t>Ação Promocional / Destaque Home</t>
        </is>
      </c>
    </row>
    <row r="10" ht="20" customHeight="1">
      <c r="A10" s="15" t="n">
        <v>6</v>
      </c>
      <c r="B10" s="16" t="inlineStr">
        <is>
          <t>100015081</t>
        </is>
      </c>
      <c r="C10" s="17" t="inlineStr">
        <is>
          <t>LEITE NINHO 800G 1+PREBIO LATA</t>
        </is>
      </c>
      <c r="D10" s="18" t="n">
        <v>1641.72</v>
      </c>
      <c r="E10" s="18" t="n">
        <v>7726.72</v>
      </c>
      <c r="F10" s="19" t="n">
        <v>-6085</v>
      </c>
      <c r="G10" s="20" t="n">
        <v>-0.7879999999999999</v>
      </c>
      <c r="H10" s="21" t="n">
        <v>2140633</v>
      </c>
      <c r="I10" s="22" t="n">
        <v>1700.26</v>
      </c>
      <c r="J10" s="15" t="inlineStr">
        <is>
          <t>🏷️ Preço Desalinhado</t>
        </is>
      </c>
      <c r="K10" s="18" t="n">
        <v>58.49</v>
      </c>
      <c r="L10" s="24" t="inlineStr">
        <is>
          <t>PREÇO POPULAR</t>
        </is>
      </c>
      <c r="M10" s="18" t="n">
        <v>47.99</v>
      </c>
      <c r="N10" s="27" t="n">
        <v>0.219</v>
      </c>
      <c r="O10" s="24" t="inlineStr">
        <is>
          <t>São João Mais Cara</t>
        </is>
      </c>
      <c r="P10" s="24" t="inlineStr">
        <is>
          <t>Detrator Crítico</t>
        </is>
      </c>
      <c r="Q10" s="17" t="inlineStr">
        <is>
          <t>Reprecificar no Digital (Precopopular R$ 47.99)</t>
        </is>
      </c>
    </row>
    <row r="11" ht="20" customHeight="1">
      <c r="A11" s="4" t="n">
        <v>7</v>
      </c>
      <c r="B11" s="5" t="inlineStr">
        <is>
          <t>10001143</t>
        </is>
      </c>
      <c r="C11" s="6" t="inlineStr">
        <is>
          <t>FR PAMPERS CONFORTSEC BAG SUPER G 60UN</t>
        </is>
      </c>
      <c r="D11" s="7" t="n">
        <v>1436.4</v>
      </c>
      <c r="E11" s="7" t="n">
        <v>7313.66</v>
      </c>
      <c r="F11" s="8" t="n">
        <v>-5877.26</v>
      </c>
      <c r="G11" s="9" t="n">
        <v>-0.804</v>
      </c>
      <c r="H11" s="10" t="n">
        <v>600457</v>
      </c>
      <c r="I11" s="11" t="n">
        <v>476.93</v>
      </c>
      <c r="J11" s="4" t="inlineStr">
        <is>
          <t>📉 Demanda Normal</t>
        </is>
      </c>
      <c r="K11" s="28" t="inlineStr"/>
      <c r="L11" s="12" t="inlineStr"/>
      <c r="M11" s="28" t="inlineStr"/>
      <c r="N11" s="29" t="inlineStr"/>
      <c r="O11" s="12" t="inlineStr">
        <is>
          <t>Não Monitorado</t>
        </is>
      </c>
      <c r="P11" s="12" t="inlineStr">
        <is>
          <t>Detrator Crítico</t>
        </is>
      </c>
      <c r="Q11" s="14" t="inlineStr">
        <is>
          <t>Ação Promocional / Destaque Home</t>
        </is>
      </c>
    </row>
    <row r="12" ht="20" customHeight="1">
      <c r="A12" s="15" t="n">
        <v>8</v>
      </c>
      <c r="B12" s="16" t="inlineStr">
        <is>
          <t>10050654</t>
        </is>
      </c>
      <c r="C12" s="17" t="inlineStr">
        <is>
          <t>POVIZTRA 2,4MG 3ML EUROFARMA</t>
        </is>
      </c>
      <c r="D12" s="18" t="n">
        <v>1169</v>
      </c>
      <c r="E12" s="18" t="n">
        <v>7019.66</v>
      </c>
      <c r="F12" s="19" t="n">
        <v>-5850.66</v>
      </c>
      <c r="G12" s="20" t="n">
        <v>-0.833</v>
      </c>
      <c r="H12" s="21" t="n">
        <v>10857</v>
      </c>
      <c r="I12" s="22" t="n">
        <v>8.619999999999999</v>
      </c>
      <c r="J12" s="15" t="inlineStr">
        <is>
          <t>📉 Demanda Normal</t>
        </is>
      </c>
      <c r="K12" s="18" t="n">
        <v>1617.66</v>
      </c>
      <c r="L12" s="24" t="inlineStr">
        <is>
          <t>PREÇO POPULAR</t>
        </is>
      </c>
      <c r="M12" s="18" t="n">
        <v>1617.66</v>
      </c>
      <c r="N12" s="30" t="n">
        <v>0</v>
      </c>
      <c r="O12" s="24" t="inlineStr">
        <is>
          <t>Preço Alinhado</t>
        </is>
      </c>
      <c r="P12" s="24" t="inlineStr">
        <is>
          <t>Detrator Crítico</t>
        </is>
      </c>
      <c r="Q12" s="26" t="inlineStr">
        <is>
          <t>Ação Promocional / Destaque Home</t>
        </is>
      </c>
    </row>
    <row r="13" ht="20" customHeight="1">
      <c r="A13" s="4" t="n">
        <v>9</v>
      </c>
      <c r="B13" s="5" t="inlineStr">
        <is>
          <t>10001144</t>
        </is>
      </c>
      <c r="C13" s="6" t="inlineStr">
        <is>
          <t>FR PAMPERS CONFORTSEC BAG SUPER XG 58UN</t>
        </is>
      </c>
      <c r="D13" s="7" t="n">
        <v>2213.59</v>
      </c>
      <c r="E13" s="7" t="n">
        <v>7975.92</v>
      </c>
      <c r="F13" s="8" t="n">
        <v>-5762.33</v>
      </c>
      <c r="G13" s="9" t="n">
        <v>-0.722</v>
      </c>
      <c r="H13" s="10" t="n">
        <v>394045</v>
      </c>
      <c r="I13" s="11" t="n">
        <v>312.98</v>
      </c>
      <c r="J13" s="4" t="inlineStr">
        <is>
          <t>📉 Demanda Normal</t>
        </is>
      </c>
      <c r="K13" s="28" t="inlineStr"/>
      <c r="L13" s="12" t="inlineStr"/>
      <c r="M13" s="28" t="inlineStr"/>
      <c r="N13" s="29" t="inlineStr"/>
      <c r="O13" s="12" t="inlineStr">
        <is>
          <t>Não Monitorado</t>
        </is>
      </c>
      <c r="P13" s="12" t="inlineStr">
        <is>
          <t>Detrator Crítico</t>
        </is>
      </c>
      <c r="Q13" s="14" t="inlineStr">
        <is>
          <t>Ação Promocional / Destaque Home</t>
        </is>
      </c>
    </row>
    <row r="14" ht="20" customHeight="1">
      <c r="A14" s="15" t="n">
        <v>10</v>
      </c>
      <c r="B14" s="16" t="inlineStr">
        <is>
          <t>10042967</t>
        </is>
      </c>
      <c r="C14" s="17" t="inlineStr">
        <is>
          <t>FR PAMPERS CONFORTSEC JUMBO G 128UN</t>
        </is>
      </c>
      <c r="D14" s="18" t="n">
        <v>3527.92</v>
      </c>
      <c r="E14" s="18" t="n">
        <v>7468.67</v>
      </c>
      <c r="F14" s="19" t="n">
        <v>-3940.75</v>
      </c>
      <c r="G14" s="20" t="n">
        <v>-0.528</v>
      </c>
      <c r="H14" s="21" t="n">
        <v>86092</v>
      </c>
      <c r="I14" s="22" t="n">
        <v>68.38</v>
      </c>
      <c r="J14" s="15" t="inlineStr">
        <is>
          <t>📉 Demanda Normal</t>
        </is>
      </c>
      <c r="K14" s="23" t="inlineStr"/>
      <c r="L14" s="24" t="inlineStr"/>
      <c r="M14" s="23" t="inlineStr"/>
      <c r="N14" s="25" t="inlineStr"/>
      <c r="O14" s="24" t="inlineStr">
        <is>
          <t>Não Monitorado</t>
        </is>
      </c>
      <c r="P14" s="24" t="inlineStr">
        <is>
          <t>Detrator Moderado</t>
        </is>
      </c>
      <c r="Q14" s="26" t="inlineStr">
        <is>
          <t>Ação Promocional / Destaque Home</t>
        </is>
      </c>
    </row>
    <row r="15" ht="20" customHeight="1">
      <c r="A15" s="4" t="n">
        <v>11</v>
      </c>
      <c r="B15" s="5" t="inlineStr">
        <is>
          <t>10039431</t>
        </is>
      </c>
      <c r="C15" s="6" t="inlineStr">
        <is>
          <t>MASC CAB DOVE 250G 10EM1 BOND INTENSE REPAIR</t>
        </is>
      </c>
      <c r="D15" s="7" t="n">
        <v>179.95</v>
      </c>
      <c r="E15" s="7" t="n">
        <v>3604.2</v>
      </c>
      <c r="F15" s="8" t="n">
        <v>-3424.25</v>
      </c>
      <c r="G15" s="9" t="n">
        <v>-0.95</v>
      </c>
      <c r="H15" s="10" t="n">
        <v>11836</v>
      </c>
      <c r="I15" s="11" t="n">
        <v>9.4</v>
      </c>
      <c r="J15" s="4" t="inlineStr">
        <is>
          <t>🏷️ Preço Desalinhado</t>
        </is>
      </c>
      <c r="K15" s="7" t="n">
        <v>39.9</v>
      </c>
      <c r="L15" s="12" t="inlineStr">
        <is>
          <t>AMAZON</t>
        </is>
      </c>
      <c r="M15" s="7" t="n">
        <v>29.9</v>
      </c>
      <c r="N15" s="31" t="n">
        <v>0.334</v>
      </c>
      <c r="O15" s="12" t="inlineStr">
        <is>
          <t>São João Mais Cara</t>
        </is>
      </c>
      <c r="P15" s="12" t="inlineStr">
        <is>
          <t>Detrator Moderado</t>
        </is>
      </c>
      <c r="Q15" s="6" t="inlineStr">
        <is>
          <t>Reprecificar no Digital (Amazon R$ 29.90)</t>
        </is>
      </c>
    </row>
    <row r="16" ht="20" customHeight="1">
      <c r="A16" s="15" t="n">
        <v>12</v>
      </c>
      <c r="B16" s="16" t="inlineStr">
        <is>
          <t>10046656</t>
        </is>
      </c>
      <c r="C16" s="17" t="inlineStr">
        <is>
          <t>MOUNJARO 12,5MG 4CAN APLIC LILLY</t>
        </is>
      </c>
      <c r="D16" s="18" t="n">
        <v>0</v>
      </c>
      <c r="E16" s="18" t="n">
        <v>3214.94</v>
      </c>
      <c r="F16" s="19" t="n">
        <v>-3214.94</v>
      </c>
      <c r="G16" s="20" t="n">
        <v>-1</v>
      </c>
      <c r="H16" s="21" t="n">
        <v>310</v>
      </c>
      <c r="I16" s="32" t="n">
        <v>0.25</v>
      </c>
      <c r="J16" s="15" t="inlineStr">
        <is>
          <t>🚨 Ruptura Logística</t>
        </is>
      </c>
      <c r="K16" s="23" t="inlineStr"/>
      <c r="L16" s="24" t="inlineStr"/>
      <c r="M16" s="23" t="inlineStr"/>
      <c r="N16" s="25" t="inlineStr"/>
      <c r="O16" s="24" t="inlineStr">
        <is>
          <t>Não Monitorado</t>
        </is>
      </c>
      <c r="P16" s="24" t="inlineStr">
        <is>
          <t>Detrator Moderado</t>
        </is>
      </c>
      <c r="Q16" s="26" t="inlineStr">
        <is>
          <t>Abastecimento Emergencial Lojas/CD</t>
        </is>
      </c>
    </row>
    <row r="17" ht="20" customHeight="1">
      <c r="A17" s="4" t="n">
        <v>13</v>
      </c>
      <c r="B17" s="5" t="inlineStr">
        <is>
          <t>10025717</t>
        </is>
      </c>
      <c r="C17" s="6" t="inlineStr">
        <is>
          <t>FR PAMPERS CONFORTSEC BAG SUPER P 72UN</t>
        </is>
      </c>
      <c r="D17" s="7" t="n">
        <v>1137.75</v>
      </c>
      <c r="E17" s="7" t="n">
        <v>4134.67</v>
      </c>
      <c r="F17" s="8" t="n">
        <v>-2996.92</v>
      </c>
      <c r="G17" s="9" t="n">
        <v>-0.725</v>
      </c>
      <c r="H17" s="10" t="n">
        <v>133030</v>
      </c>
      <c r="I17" s="11" t="n">
        <v>105.66</v>
      </c>
      <c r="J17" s="4" t="inlineStr">
        <is>
          <t>📉 Demanda Normal</t>
        </is>
      </c>
      <c r="K17" s="28" t="inlineStr"/>
      <c r="L17" s="12" t="inlineStr"/>
      <c r="M17" s="28" t="inlineStr"/>
      <c r="N17" s="29" t="inlineStr"/>
      <c r="O17" s="12" t="inlineStr">
        <is>
          <t>Não Monitorado</t>
        </is>
      </c>
      <c r="P17" s="12" t="inlineStr">
        <is>
          <t>Detrator Moderado</t>
        </is>
      </c>
      <c r="Q17" s="14" t="inlineStr">
        <is>
          <t>Ação Promocional / Destaque Home</t>
        </is>
      </c>
    </row>
    <row r="18" ht="20" customHeight="1">
      <c r="A18" s="15" t="n">
        <v>14</v>
      </c>
      <c r="B18" s="16" t="inlineStr">
        <is>
          <t>10038743</t>
        </is>
      </c>
      <c r="C18" s="17" t="inlineStr">
        <is>
          <t>FR PAMPERS CONFORTSEC BAG SUPER XXXG 44U</t>
        </is>
      </c>
      <c r="D18" s="18" t="n">
        <v>893.41</v>
      </c>
      <c r="E18" s="18" t="n">
        <v>3742.66</v>
      </c>
      <c r="F18" s="19" t="n">
        <v>-2849.25</v>
      </c>
      <c r="G18" s="20" t="n">
        <v>-0.7609999999999999</v>
      </c>
      <c r="H18" s="21" t="n">
        <v>55156</v>
      </c>
      <c r="I18" s="22" t="n">
        <v>43.81</v>
      </c>
      <c r="J18" s="15" t="inlineStr">
        <is>
          <t>📉 Demanda Normal</t>
        </is>
      </c>
      <c r="K18" s="23" t="inlineStr"/>
      <c r="L18" s="24" t="inlineStr"/>
      <c r="M18" s="23" t="inlineStr"/>
      <c r="N18" s="25" t="inlineStr"/>
      <c r="O18" s="24" t="inlineStr">
        <is>
          <t>Não Monitorado</t>
        </is>
      </c>
      <c r="P18" s="24" t="inlineStr">
        <is>
          <t>Detrator Moderado</t>
        </is>
      </c>
      <c r="Q18" s="26" t="inlineStr">
        <is>
          <t>Ação Promocional / Destaque Home</t>
        </is>
      </c>
    </row>
    <row r="19" ht="20" customHeight="1">
      <c r="A19" s="4" t="n">
        <v>15</v>
      </c>
      <c r="B19" s="5" t="inlineStr">
        <is>
          <t>10001142</t>
        </is>
      </c>
      <c r="C19" s="6" t="inlineStr">
        <is>
          <t>FR PAMPERS CONFORTSEC BAG SUPER M 70UN</t>
        </is>
      </c>
      <c r="D19" s="7" t="n">
        <v>1283.32</v>
      </c>
      <c r="E19" s="7" t="n">
        <v>3757.56</v>
      </c>
      <c r="F19" s="8" t="n">
        <v>-2474.24</v>
      </c>
      <c r="G19" s="9" t="n">
        <v>-0.6579999999999999</v>
      </c>
      <c r="H19" s="10" t="n">
        <v>147734</v>
      </c>
      <c r="I19" s="11" t="n">
        <v>117.34</v>
      </c>
      <c r="J19" s="4" t="inlineStr">
        <is>
          <t>📉 Demanda Normal</t>
        </is>
      </c>
      <c r="K19" s="28" t="inlineStr"/>
      <c r="L19" s="12" t="inlineStr"/>
      <c r="M19" s="28" t="inlineStr"/>
      <c r="N19" s="29" t="inlineStr"/>
      <c r="O19" s="12" t="inlineStr">
        <is>
          <t>Não Monitorado</t>
        </is>
      </c>
      <c r="P19" s="12" t="inlineStr">
        <is>
          <t>Detrator Moderado</t>
        </is>
      </c>
      <c r="Q19" s="14" t="inlineStr">
        <is>
          <t>Ação Promocional / Destaque Home</t>
        </is>
      </c>
    </row>
    <row r="20" ht="20" customHeight="1">
      <c r="A20" s="15" t="n">
        <v>16</v>
      </c>
      <c r="B20" s="16" t="inlineStr">
        <is>
          <t>10093877</t>
        </is>
      </c>
      <c r="C20" s="17" t="inlineStr">
        <is>
          <t>MIRENA 52MG 1END+INS BAYER</t>
        </is>
      </c>
      <c r="D20" s="18" t="n">
        <v>0</v>
      </c>
      <c r="E20" s="18" t="n">
        <v>2131.95</v>
      </c>
      <c r="F20" s="19" t="n">
        <v>-2131.95</v>
      </c>
      <c r="G20" s="20" t="n">
        <v>-1</v>
      </c>
      <c r="H20" s="21" t="n">
        <v>588</v>
      </c>
      <c r="I20" s="32" t="n">
        <v>0.47</v>
      </c>
      <c r="J20" s="15" t="inlineStr">
        <is>
          <t>🚨 Ruptura Logística</t>
        </is>
      </c>
      <c r="K20" s="23" t="inlineStr"/>
      <c r="L20" s="24" t="inlineStr">
        <is>
          <t>NISSEI</t>
        </is>
      </c>
      <c r="M20" s="18" t="n">
        <v>1225.89</v>
      </c>
      <c r="N20" s="25" t="inlineStr"/>
      <c r="O20" s="24" t="inlineStr">
        <is>
          <t>Não Monitorado</t>
        </is>
      </c>
      <c r="P20" s="24" t="inlineStr">
        <is>
          <t>Detrator Moderado</t>
        </is>
      </c>
      <c r="Q20" s="26" t="inlineStr">
        <is>
          <t>Abastecimento Emergencial Lojas/CD</t>
        </is>
      </c>
    </row>
    <row r="21" ht="20" customHeight="1">
      <c r="A21" s="4" t="n">
        <v>17</v>
      </c>
      <c r="B21" s="5" t="inlineStr">
        <is>
          <t>10042969</t>
        </is>
      </c>
      <c r="C21" s="6" t="inlineStr">
        <is>
          <t>FR PAMPERS CONFORTSEC JUMBO XXG 112UN</t>
        </is>
      </c>
      <c r="D21" s="7" t="n">
        <v>11905.14</v>
      </c>
      <c r="E21" s="7" t="n">
        <v>13965.93</v>
      </c>
      <c r="F21" s="8" t="n">
        <v>-2060.79</v>
      </c>
      <c r="G21" s="9" t="n">
        <v>-0.148</v>
      </c>
      <c r="H21" s="10" t="n">
        <v>127276</v>
      </c>
      <c r="I21" s="11" t="n">
        <v>101.09</v>
      </c>
      <c r="J21" s="4" t="inlineStr">
        <is>
          <t>📉 Demanda Normal</t>
        </is>
      </c>
      <c r="K21" s="28" t="inlineStr"/>
      <c r="L21" s="12" t="inlineStr"/>
      <c r="M21" s="28" t="inlineStr"/>
      <c r="N21" s="29" t="inlineStr"/>
      <c r="O21" s="12" t="inlineStr">
        <is>
          <t>Não Monitorado</t>
        </is>
      </c>
      <c r="P21" s="12" t="inlineStr">
        <is>
          <t>Detrator Moderado</t>
        </is>
      </c>
      <c r="Q21" s="14" t="inlineStr">
        <is>
          <t>Ação Promocional / Destaque Home</t>
        </is>
      </c>
    </row>
    <row r="22" ht="20" customHeight="1">
      <c r="A22" s="15" t="n">
        <v>18</v>
      </c>
      <c r="B22" s="16" t="inlineStr">
        <is>
          <t>10020597</t>
        </is>
      </c>
      <c r="C22" s="17" t="inlineStr">
        <is>
          <t>TOALHAS UMED PAMPERS LV4 PG3 ALOE VERA</t>
        </is>
      </c>
      <c r="D22" s="18" t="n">
        <v>512.48</v>
      </c>
      <c r="E22" s="18" t="n">
        <v>2472.57</v>
      </c>
      <c r="F22" s="19" t="n">
        <v>-1960.09</v>
      </c>
      <c r="G22" s="20" t="n">
        <v>-0.7929999999999999</v>
      </c>
      <c r="H22" s="21" t="n">
        <v>104871</v>
      </c>
      <c r="I22" s="22" t="n">
        <v>83.3</v>
      </c>
      <c r="J22" s="15" t="inlineStr">
        <is>
          <t>📉 Demanda Normal</t>
        </is>
      </c>
      <c r="K22" s="18" t="n">
        <v>35.9</v>
      </c>
      <c r="L22" s="24" t="inlineStr">
        <is>
          <t>AMAZON</t>
        </is>
      </c>
      <c r="M22" s="18" t="n">
        <v>36.89</v>
      </c>
      <c r="N22" s="30" t="n">
        <v>-0.027</v>
      </c>
      <c r="O22" s="24" t="inlineStr">
        <is>
          <t>Líder de Preço</t>
        </is>
      </c>
      <c r="P22" s="24" t="inlineStr">
        <is>
          <t>Detrator Moderado</t>
        </is>
      </c>
      <c r="Q22" s="26" t="inlineStr">
        <is>
          <t>Ação Promocional / Destaque Home</t>
        </is>
      </c>
    </row>
    <row r="23" ht="20" customHeight="1">
      <c r="A23" s="4" t="n">
        <v>19</v>
      </c>
      <c r="B23" s="5" t="inlineStr">
        <is>
          <t>10039428</t>
        </is>
      </c>
      <c r="C23" s="6" t="inlineStr">
        <is>
          <t>OLEO CAB DOVE 100ML BIFASICO BOND INTENSE REPAIR</t>
        </is>
      </c>
      <c r="D23" s="7" t="n">
        <v>80.02</v>
      </c>
      <c r="E23" s="7" t="n">
        <v>1717.41</v>
      </c>
      <c r="F23" s="8" t="n">
        <v>-1637.39</v>
      </c>
      <c r="G23" s="9" t="n">
        <v>-0.953</v>
      </c>
      <c r="H23" s="10" t="n">
        <v>43982</v>
      </c>
      <c r="I23" s="11" t="n">
        <v>34.93</v>
      </c>
      <c r="J23" s="4" t="inlineStr">
        <is>
          <t>🏷️ Preço Desalinhado</t>
        </is>
      </c>
      <c r="K23" s="7" t="n">
        <v>39.9</v>
      </c>
      <c r="L23" s="12" t="inlineStr">
        <is>
          <t>AMAZON</t>
        </is>
      </c>
      <c r="M23" s="7" t="n">
        <v>27.44</v>
      </c>
      <c r="N23" s="31" t="n">
        <v>0.454</v>
      </c>
      <c r="O23" s="12" t="inlineStr">
        <is>
          <t>São João Mais Cara</t>
        </is>
      </c>
      <c r="P23" s="12" t="inlineStr">
        <is>
          <t>Detrator Moderado</t>
        </is>
      </c>
      <c r="Q23" s="6" t="inlineStr">
        <is>
          <t>Reprecificar no Digital (Amazon R$ 27.44)</t>
        </is>
      </c>
    </row>
    <row r="24" ht="20" customHeight="1">
      <c r="A24" s="15" t="n">
        <v>20</v>
      </c>
      <c r="B24" s="16" t="inlineStr">
        <is>
          <t>10046657</t>
        </is>
      </c>
      <c r="C24" s="17" t="inlineStr">
        <is>
          <t>MOUNJARO 15MG 4CAN APLIC LILLY</t>
        </is>
      </c>
      <c r="D24" s="18" t="n">
        <v>0</v>
      </c>
      <c r="E24" s="18" t="n">
        <v>1607.47</v>
      </c>
      <c r="F24" s="19" t="n">
        <v>-1607.47</v>
      </c>
      <c r="G24" s="20" t="n">
        <v>-1</v>
      </c>
      <c r="H24" s="21" t="n">
        <v>1094</v>
      </c>
      <c r="I24" s="32" t="n">
        <v>0.87</v>
      </c>
      <c r="J24" s="15" t="inlineStr">
        <is>
          <t>🚨 Ruptura Logística</t>
        </is>
      </c>
      <c r="K24" s="23" t="inlineStr"/>
      <c r="L24" s="24" t="inlineStr"/>
      <c r="M24" s="23" t="inlineStr"/>
      <c r="N24" s="25" t="inlineStr"/>
      <c r="O24" s="24" t="inlineStr">
        <is>
          <t>Não Monitorado</t>
        </is>
      </c>
      <c r="P24" s="24" t="inlineStr">
        <is>
          <t>Detrator Moderado</t>
        </is>
      </c>
      <c r="Q24" s="26" t="inlineStr">
        <is>
          <t>Abastecimento Emergencial Lojas/CD</t>
        </is>
      </c>
    </row>
    <row r="25" ht="20" customHeight="1">
      <c r="A25" s="4" t="n">
        <v>21</v>
      </c>
      <c r="B25" s="5" t="inlineStr">
        <is>
          <t>10044775</t>
        </is>
      </c>
      <c r="C25" s="6" t="inlineStr">
        <is>
          <t>CR CAB TRESEMME 400G BLINDAGEM ANTIUMIDADE</t>
        </is>
      </c>
      <c r="D25" s="7" t="n">
        <v>37.4</v>
      </c>
      <c r="E25" s="7" t="n">
        <v>1576.06</v>
      </c>
      <c r="F25" s="8" t="n">
        <v>-1538.66</v>
      </c>
      <c r="G25" s="9" t="n">
        <v>-0.976</v>
      </c>
      <c r="H25" s="10" t="n">
        <v>4268</v>
      </c>
      <c r="I25" s="11" t="n">
        <v>3.39</v>
      </c>
      <c r="J25" s="4" t="inlineStr">
        <is>
          <t>📉 Demanda Normal</t>
        </is>
      </c>
      <c r="K25" s="28" t="inlineStr"/>
      <c r="L25" s="12" t="inlineStr"/>
      <c r="M25" s="28" t="inlineStr"/>
      <c r="N25" s="29" t="inlineStr"/>
      <c r="O25" s="12" t="inlineStr">
        <is>
          <t>Não Monitorado</t>
        </is>
      </c>
      <c r="P25" s="12" t="inlineStr">
        <is>
          <t>Detrator Moderado</t>
        </is>
      </c>
      <c r="Q25" s="14" t="inlineStr">
        <is>
          <t>Ação Promocional / Destaque Home</t>
        </is>
      </c>
    </row>
    <row r="26" ht="20" customHeight="1">
      <c r="A26" s="15" t="n">
        <v>22</v>
      </c>
      <c r="B26" s="16" t="inlineStr">
        <is>
          <t>10042966</t>
        </is>
      </c>
      <c r="C26" s="17" t="inlineStr">
        <is>
          <t>FR PAMPERS CONFORTSEC JUMBO M 148UN</t>
        </is>
      </c>
      <c r="D26" s="18" t="n">
        <v>457.69</v>
      </c>
      <c r="E26" s="18" t="n">
        <v>1899.83</v>
      </c>
      <c r="F26" s="19" t="n">
        <v>-1442.14</v>
      </c>
      <c r="G26" s="20" t="n">
        <v>-0.759</v>
      </c>
      <c r="H26" s="21" t="n">
        <v>13990</v>
      </c>
      <c r="I26" s="22" t="n">
        <v>11.11</v>
      </c>
      <c r="J26" s="15" t="inlineStr">
        <is>
          <t>📉 Demanda Normal</t>
        </is>
      </c>
      <c r="K26" s="23" t="inlineStr"/>
      <c r="L26" s="24" t="inlineStr"/>
      <c r="M26" s="23" t="inlineStr"/>
      <c r="N26" s="25" t="inlineStr"/>
      <c r="O26" s="24" t="inlineStr">
        <is>
          <t>Não Monitorado</t>
        </is>
      </c>
      <c r="P26" s="24" t="inlineStr">
        <is>
          <t>Detrator Moderado</t>
        </is>
      </c>
      <c r="Q26" s="26" t="inlineStr">
        <is>
          <t>Ação Promocional / Destaque Home</t>
        </is>
      </c>
    </row>
    <row r="27" ht="20" customHeight="1">
      <c r="A27" s="4" t="n">
        <v>23</v>
      </c>
      <c r="B27" s="5" t="inlineStr">
        <is>
          <t>10038987</t>
        </is>
      </c>
      <c r="C27" s="6" t="inlineStr">
        <is>
          <t>SH TRESEMME 650ML HIDRATACAO PROFUNDA</t>
        </is>
      </c>
      <c r="D27" s="7" t="n">
        <v>110.22</v>
      </c>
      <c r="E27" s="7" t="n">
        <v>1474.71</v>
      </c>
      <c r="F27" s="8" t="n">
        <v>-1364.49</v>
      </c>
      <c r="G27" s="9" t="n">
        <v>-0.925</v>
      </c>
      <c r="H27" s="10" t="n">
        <v>7143</v>
      </c>
      <c r="I27" s="11" t="n">
        <v>5.67</v>
      </c>
      <c r="J27" s="4" t="inlineStr">
        <is>
          <t>📉 Demanda Normal</t>
        </is>
      </c>
      <c r="K27" s="28" t="inlineStr"/>
      <c r="L27" s="12" t="inlineStr"/>
      <c r="M27" s="28" t="inlineStr"/>
      <c r="N27" s="29" t="inlineStr"/>
      <c r="O27" s="12" t="inlineStr">
        <is>
          <t>Não Monitorado</t>
        </is>
      </c>
      <c r="P27" s="12" t="inlineStr">
        <is>
          <t>Detrator Moderado</t>
        </is>
      </c>
      <c r="Q27" s="14" t="inlineStr">
        <is>
          <t>Ação Promocional / Destaque Home</t>
        </is>
      </c>
    </row>
    <row r="28" ht="20" customHeight="1">
      <c r="A28" s="15" t="n">
        <v>24</v>
      </c>
      <c r="B28" s="16" t="inlineStr">
        <is>
          <t>10106679</t>
        </is>
      </c>
      <c r="C28" s="17" t="inlineStr">
        <is>
          <t>NICORETTE 4MG 30GOMAS ICE MENTA</t>
        </is>
      </c>
      <c r="D28" s="18" t="n">
        <v>0</v>
      </c>
      <c r="E28" s="18" t="n">
        <v>1358.07</v>
      </c>
      <c r="F28" s="19" t="n">
        <v>-1358.07</v>
      </c>
      <c r="G28" s="20" t="n">
        <v>-1</v>
      </c>
      <c r="H28" s="21" t="n">
        <v>31314</v>
      </c>
      <c r="I28" s="22" t="n">
        <v>24.87</v>
      </c>
      <c r="J28" s="15" t="inlineStr">
        <is>
          <t>🏷️ Preço Desalinhado</t>
        </is>
      </c>
      <c r="K28" s="18" t="n">
        <v>117.76</v>
      </c>
      <c r="L28" s="24" t="inlineStr">
        <is>
          <t>DROGARAIA</t>
        </is>
      </c>
      <c r="M28" s="18" t="n">
        <v>83.44</v>
      </c>
      <c r="N28" s="27" t="n">
        <v>0.411</v>
      </c>
      <c r="O28" s="24" t="inlineStr">
        <is>
          <t>São João Mais Cara</t>
        </is>
      </c>
      <c r="P28" s="24" t="inlineStr">
        <is>
          <t>Detrator Moderado</t>
        </is>
      </c>
      <c r="Q28" s="17" t="inlineStr">
        <is>
          <t>Reprecificar no Digital (Drogaraia R$ 83.44)</t>
        </is>
      </c>
    </row>
    <row r="29" ht="20" customHeight="1">
      <c r="A29" s="4" t="n">
        <v>25</v>
      </c>
      <c r="B29" s="5" t="inlineStr">
        <is>
          <t>10038988</t>
        </is>
      </c>
      <c r="C29" s="6" t="inlineStr">
        <is>
          <t>COND TRESEMME 650ML HIDRATACAO PROFUNDA</t>
        </is>
      </c>
      <c r="D29" s="7" t="n">
        <v>71.56</v>
      </c>
      <c r="E29" s="7" t="n">
        <v>1401</v>
      </c>
      <c r="F29" s="8" t="n">
        <v>-1329.44</v>
      </c>
      <c r="G29" s="9" t="n">
        <v>-0.9490000000000001</v>
      </c>
      <c r="H29" s="10" t="n">
        <v>4523</v>
      </c>
      <c r="I29" s="11" t="n">
        <v>3.59</v>
      </c>
      <c r="J29" s="4" t="inlineStr">
        <is>
          <t>🏷️ Preço Desalinhado</t>
        </is>
      </c>
      <c r="K29" s="7" t="n">
        <v>34.9</v>
      </c>
      <c r="L29" s="12" t="inlineStr">
        <is>
          <t>AMAZON</t>
        </is>
      </c>
      <c r="M29" s="7" t="n">
        <v>25.63</v>
      </c>
      <c r="N29" s="31" t="n">
        <v>0.362</v>
      </c>
      <c r="O29" s="12" t="inlineStr">
        <is>
          <t>São João Mais Cara</t>
        </is>
      </c>
      <c r="P29" s="12" t="inlineStr">
        <is>
          <t>Detrator Moderado</t>
        </is>
      </c>
      <c r="Q29" s="6" t="inlineStr">
        <is>
          <t>Reprecificar no Digital (Amazon R$ 25.63)</t>
        </is>
      </c>
    </row>
    <row r="30" ht="20" customHeight="1">
      <c r="A30" s="15" t="n">
        <v>26</v>
      </c>
      <c r="B30" s="16" t="inlineStr">
        <is>
          <t>10041259</t>
        </is>
      </c>
      <c r="C30" s="17" t="inlineStr">
        <is>
          <t>FR HUGGIES MAXIMA PROT MAX G 92UN</t>
        </is>
      </c>
      <c r="D30" s="18" t="n">
        <v>2049.83</v>
      </c>
      <c r="E30" s="18" t="n">
        <v>3341.67</v>
      </c>
      <c r="F30" s="19" t="n">
        <v>-1291.84</v>
      </c>
      <c r="G30" s="20" t="n">
        <v>-0.387</v>
      </c>
      <c r="H30" s="21" t="n">
        <v>129222</v>
      </c>
      <c r="I30" s="22" t="n">
        <v>102.64</v>
      </c>
      <c r="J30" s="15" t="inlineStr">
        <is>
          <t>📉 Demanda Normal</t>
        </is>
      </c>
      <c r="K30" s="23" t="inlineStr"/>
      <c r="L30" s="24" t="inlineStr"/>
      <c r="M30" s="23" t="inlineStr"/>
      <c r="N30" s="25" t="inlineStr"/>
      <c r="O30" s="24" t="inlineStr">
        <is>
          <t>Não Monitorado</t>
        </is>
      </c>
      <c r="P30" s="24" t="inlineStr">
        <is>
          <t>Detrator Moderado</t>
        </is>
      </c>
      <c r="Q30" s="26" t="inlineStr">
        <is>
          <t>Ação Promocional / Destaque Home</t>
        </is>
      </c>
    </row>
    <row r="31" ht="20" customHeight="1">
      <c r="A31" s="4" t="n">
        <v>27</v>
      </c>
      <c r="B31" s="5" t="inlineStr">
        <is>
          <t>10050653</t>
        </is>
      </c>
      <c r="C31" s="6" t="inlineStr">
        <is>
          <t>POVIZTRA 1,7MG 3ML EUROFARMA</t>
        </is>
      </c>
      <c r="D31" s="7" t="n">
        <v>0</v>
      </c>
      <c r="E31" s="7" t="n">
        <v>1285.14</v>
      </c>
      <c r="F31" s="8" t="n">
        <v>-1285.14</v>
      </c>
      <c r="G31" s="9" t="n">
        <v>-1</v>
      </c>
      <c r="H31" s="10" t="n">
        <v>3051</v>
      </c>
      <c r="I31" s="11" t="n">
        <v>2.42</v>
      </c>
      <c r="J31" s="4" t="inlineStr">
        <is>
          <t>📉 Demanda Normal</t>
        </is>
      </c>
      <c r="K31" s="7" t="n">
        <v>1347.91</v>
      </c>
      <c r="L31" s="12" t="inlineStr">
        <is>
          <t>PREÇO POPULAR</t>
        </is>
      </c>
      <c r="M31" s="7" t="n">
        <v>1347.89</v>
      </c>
      <c r="N31" s="13" t="n">
        <v>0</v>
      </c>
      <c r="O31" s="12" t="inlineStr">
        <is>
          <t>Preço Alinhado</t>
        </is>
      </c>
      <c r="P31" s="12" t="inlineStr">
        <is>
          <t>Detrator Moderado</t>
        </is>
      </c>
      <c r="Q31" s="14" t="inlineStr">
        <is>
          <t>Ação Promocional / Destaque Home</t>
        </is>
      </c>
    </row>
    <row r="32" ht="20" customHeight="1">
      <c r="A32" s="15" t="n">
        <v>28</v>
      </c>
      <c r="B32" s="16" t="inlineStr">
        <is>
          <t>10030119</t>
        </is>
      </c>
      <c r="C32" s="17" t="inlineStr">
        <is>
          <t>RYBELSUS 14MG 30CP NOVO NORDISK</t>
        </is>
      </c>
      <c r="D32" s="18" t="n">
        <v>1150</v>
      </c>
      <c r="E32" s="18" t="n">
        <v>2412.25</v>
      </c>
      <c r="F32" s="19" t="n">
        <v>-1262.25</v>
      </c>
      <c r="G32" s="20" t="n">
        <v>-0.523</v>
      </c>
      <c r="H32" s="21" t="n">
        <v>2663</v>
      </c>
      <c r="I32" s="22" t="n">
        <v>2.12</v>
      </c>
      <c r="J32" s="15" t="inlineStr">
        <is>
          <t>📉 Demanda Normal</t>
        </is>
      </c>
      <c r="K32" s="18" t="n">
        <v>1301.17</v>
      </c>
      <c r="L32" s="24" t="inlineStr">
        <is>
          <t>PREÇO POPULAR</t>
        </is>
      </c>
      <c r="M32" s="18" t="n">
        <v>1301.17</v>
      </c>
      <c r="N32" s="30" t="n">
        <v>0</v>
      </c>
      <c r="O32" s="24" t="inlineStr">
        <is>
          <t>Preço Alinhado</t>
        </is>
      </c>
      <c r="P32" s="24" t="inlineStr">
        <is>
          <t>Detrator Moderado</t>
        </is>
      </c>
      <c r="Q32" s="26" t="inlineStr">
        <is>
          <t>Push CRM / Recompra 30d no App</t>
        </is>
      </c>
    </row>
    <row r="33" ht="20" customHeight="1">
      <c r="A33" s="4" t="n">
        <v>29</v>
      </c>
      <c r="B33" s="5" t="inlineStr">
        <is>
          <t>10041262</t>
        </is>
      </c>
      <c r="C33" s="6" t="inlineStr">
        <is>
          <t>FR HUGGIES ROUPINHA ACOLCHOADA MAX XG 80</t>
        </is>
      </c>
      <c r="D33" s="7" t="n">
        <v>2054.83</v>
      </c>
      <c r="E33" s="7" t="n">
        <v>3301.25</v>
      </c>
      <c r="F33" s="8" t="n">
        <v>-1246.42</v>
      </c>
      <c r="G33" s="9" t="n">
        <v>-0.3779999999999999</v>
      </c>
      <c r="H33" s="10" t="n">
        <v>7618</v>
      </c>
      <c r="I33" s="11" t="n">
        <v>6.05</v>
      </c>
      <c r="J33" s="4" t="inlineStr">
        <is>
          <t>📉 Demanda Normal</t>
        </is>
      </c>
      <c r="K33" s="28" t="inlineStr"/>
      <c r="L33" s="12" t="inlineStr"/>
      <c r="M33" s="28" t="inlineStr"/>
      <c r="N33" s="29" t="inlineStr"/>
      <c r="O33" s="12" t="inlineStr">
        <is>
          <t>Não Monitorado</t>
        </is>
      </c>
      <c r="P33" s="12" t="inlineStr">
        <is>
          <t>Detrator Moderado</t>
        </is>
      </c>
      <c r="Q33" s="14" t="inlineStr">
        <is>
          <t>Ação Promocional / Destaque Home</t>
        </is>
      </c>
    </row>
    <row r="34" ht="20" customHeight="1">
      <c r="A34" s="15" t="n">
        <v>30</v>
      </c>
      <c r="B34" s="16" t="inlineStr">
        <is>
          <t>10050642</t>
        </is>
      </c>
      <c r="C34" s="17" t="inlineStr">
        <is>
          <t>POVIZTRA 0,5MG 1,5ML EUROFARMA</t>
        </is>
      </c>
      <c r="D34" s="18" t="n">
        <v>0</v>
      </c>
      <c r="E34" s="18" t="n">
        <v>1239.34</v>
      </c>
      <c r="F34" s="19" t="n">
        <v>-1239.34</v>
      </c>
      <c r="G34" s="20" t="n">
        <v>-1</v>
      </c>
      <c r="H34" s="21" t="n">
        <v>18090</v>
      </c>
      <c r="I34" s="22" t="n">
        <v>14.37</v>
      </c>
      <c r="J34" s="15" t="inlineStr">
        <is>
          <t>📉 Demanda Normal</t>
        </is>
      </c>
      <c r="K34" s="18" t="n">
        <v>955.85</v>
      </c>
      <c r="L34" s="24" t="inlineStr">
        <is>
          <t>PREÇO POPULAR</t>
        </is>
      </c>
      <c r="M34" s="18" t="n">
        <v>955.85</v>
      </c>
      <c r="N34" s="30" t="n">
        <v>0</v>
      </c>
      <c r="O34" s="24" t="inlineStr">
        <is>
          <t>Preço Alinhado</t>
        </is>
      </c>
      <c r="P34" s="24" t="inlineStr">
        <is>
          <t>Detrator Moderado</t>
        </is>
      </c>
      <c r="Q34" s="26" t="inlineStr">
        <is>
          <t>Ação Promocional / Destaque Home</t>
        </is>
      </c>
    </row>
    <row r="35" ht="20" customHeight="1">
      <c r="A35" s="4" t="n">
        <v>31</v>
      </c>
      <c r="B35" s="5" t="inlineStr">
        <is>
          <t>100009772</t>
        </is>
      </c>
      <c r="C35" s="6" t="inlineStr">
        <is>
          <t>FERINJECT 50MG/ML 1FR/AMP 10ML BLANVER</t>
        </is>
      </c>
      <c r="D35" s="7" t="n">
        <v>0</v>
      </c>
      <c r="E35" s="7" t="n">
        <v>1226.75</v>
      </c>
      <c r="F35" s="8" t="n">
        <v>-1226.75</v>
      </c>
      <c r="G35" s="9" t="n">
        <v>-1</v>
      </c>
      <c r="H35" s="10" t="n">
        <v>688</v>
      </c>
      <c r="I35" s="33" t="n">
        <v>0.55</v>
      </c>
      <c r="J35" s="4" t="inlineStr">
        <is>
          <t>🚨 Ruptura Logística</t>
        </is>
      </c>
      <c r="K35" s="28" t="inlineStr"/>
      <c r="L35" s="12" t="inlineStr">
        <is>
          <t>PANVEL</t>
        </is>
      </c>
      <c r="M35" s="7" t="n">
        <v>719.9</v>
      </c>
      <c r="N35" s="29" t="inlineStr"/>
      <c r="O35" s="12" t="inlineStr">
        <is>
          <t>Não Monitorado</t>
        </is>
      </c>
      <c r="P35" s="12" t="inlineStr">
        <is>
          <t>Detrator Moderado</t>
        </is>
      </c>
      <c r="Q35" s="14" t="inlineStr">
        <is>
          <t>Abastecimento Emergencial Lojas/CD</t>
        </is>
      </c>
    </row>
    <row r="36" ht="20" customHeight="1">
      <c r="A36" s="15" t="n">
        <v>32</v>
      </c>
      <c r="B36" s="16" t="inlineStr">
        <is>
          <t>100001402</t>
        </is>
      </c>
      <c r="C36" s="17" t="inlineStr">
        <is>
          <t>SERVICO DOMICILIO</t>
        </is>
      </c>
      <c r="D36" s="18" t="n">
        <v>4490.6</v>
      </c>
      <c r="E36" s="18" t="n">
        <v>5706.9</v>
      </c>
      <c r="F36" s="19" t="n">
        <v>-1216.3</v>
      </c>
      <c r="G36" s="20" t="n">
        <v>-0.213</v>
      </c>
      <c r="H36" s="21" t="n">
        <v>0</v>
      </c>
      <c r="I36" s="32" t="n">
        <v>0</v>
      </c>
      <c r="J36" s="15" t="inlineStr">
        <is>
          <t>🚨 Ruptura Logística</t>
        </is>
      </c>
      <c r="K36" s="23" t="inlineStr"/>
      <c r="L36" s="24" t="inlineStr"/>
      <c r="M36" s="23" t="inlineStr"/>
      <c r="N36" s="25" t="inlineStr"/>
      <c r="O36" s="24" t="inlineStr">
        <is>
          <t>Não Monitorado</t>
        </is>
      </c>
      <c r="P36" s="24" t="inlineStr">
        <is>
          <t>Detrator Moderado</t>
        </is>
      </c>
      <c r="Q36" s="26" t="inlineStr">
        <is>
          <t>Abastecimento Emergencial Lojas/CD</t>
        </is>
      </c>
    </row>
    <row r="37" ht="20" customHeight="1">
      <c r="A37" s="4" t="n">
        <v>33</v>
      </c>
      <c r="B37" s="5" t="inlineStr">
        <is>
          <t>10026836</t>
        </is>
      </c>
      <c r="C37" s="6" t="inlineStr">
        <is>
          <t>IUMI ES 3MG+20MCG 120CP REV LIBBS</t>
        </is>
      </c>
      <c r="D37" s="7" t="n">
        <v>0</v>
      </c>
      <c r="E37" s="7" t="n">
        <v>1205.88</v>
      </c>
      <c r="F37" s="8" t="n">
        <v>-1205.88</v>
      </c>
      <c r="G37" s="9" t="n">
        <v>-1</v>
      </c>
      <c r="H37" s="10" t="n">
        <v>8568</v>
      </c>
      <c r="I37" s="11" t="n">
        <v>6.81</v>
      </c>
      <c r="J37" s="4" t="inlineStr">
        <is>
          <t>📉 Demanda Normal</t>
        </is>
      </c>
      <c r="K37" s="7" t="n">
        <v>153.23</v>
      </c>
      <c r="L37" s="12" t="inlineStr">
        <is>
          <t>DROGARAIA</t>
        </is>
      </c>
      <c r="M37" s="7" t="n">
        <v>173.71</v>
      </c>
      <c r="N37" s="13" t="n">
        <v>-0.118</v>
      </c>
      <c r="O37" s="12" t="inlineStr">
        <is>
          <t>Líder de Preço</t>
        </is>
      </c>
      <c r="P37" s="12" t="inlineStr">
        <is>
          <t>Detrator Moderado</t>
        </is>
      </c>
      <c r="Q37" s="14" t="inlineStr">
        <is>
          <t>Ação Promocional / Destaque Home</t>
        </is>
      </c>
    </row>
    <row r="38" ht="20" customHeight="1">
      <c r="A38" s="15" t="n">
        <v>34</v>
      </c>
      <c r="B38" s="16" t="inlineStr">
        <is>
          <t>10041257</t>
        </is>
      </c>
      <c r="C38" s="17" t="inlineStr">
        <is>
          <t>FR HUGGIES MAXIMA PROT MAX XXG 80UN</t>
        </is>
      </c>
      <c r="D38" s="18" t="n">
        <v>4236.02</v>
      </c>
      <c r="E38" s="18" t="n">
        <v>5408.8</v>
      </c>
      <c r="F38" s="19" t="n">
        <v>-1172.78</v>
      </c>
      <c r="G38" s="20" t="n">
        <v>-0.217</v>
      </c>
      <c r="H38" s="21" t="n">
        <v>173814</v>
      </c>
      <c r="I38" s="22" t="n">
        <v>138.06</v>
      </c>
      <c r="J38" s="15" t="inlineStr">
        <is>
          <t>📉 Demanda Normal</t>
        </is>
      </c>
      <c r="K38" s="23" t="inlineStr"/>
      <c r="L38" s="24" t="inlineStr"/>
      <c r="M38" s="23" t="inlineStr"/>
      <c r="N38" s="25" t="inlineStr"/>
      <c r="O38" s="24" t="inlineStr">
        <is>
          <t>Não Monitorado</t>
        </is>
      </c>
      <c r="P38" s="24" t="inlineStr">
        <is>
          <t>Detrator Moderado</t>
        </is>
      </c>
      <c r="Q38" s="26" t="inlineStr">
        <is>
          <t>Ação Promocional / Destaque Home</t>
        </is>
      </c>
    </row>
    <row r="39" ht="20" customHeight="1">
      <c r="A39" s="4" t="n">
        <v>35</v>
      </c>
      <c r="B39" s="5" t="inlineStr">
        <is>
          <t>10050033</t>
        </is>
      </c>
      <c r="C39" s="6" t="inlineStr">
        <is>
          <t>OLEO CAB DOVE 110ML UV REPAIR</t>
        </is>
      </c>
      <c r="D39" s="7" t="n">
        <v>0</v>
      </c>
      <c r="E39" s="7" t="n">
        <v>1146.36</v>
      </c>
      <c r="F39" s="8" t="n">
        <v>-1146.36</v>
      </c>
      <c r="G39" s="9" t="n">
        <v>-1</v>
      </c>
      <c r="H39" s="10" t="n">
        <v>46121</v>
      </c>
      <c r="I39" s="11" t="n">
        <v>36.63</v>
      </c>
      <c r="J39" s="4" t="inlineStr">
        <is>
          <t>🏷️ Preço Desalinhado</t>
        </is>
      </c>
      <c r="K39" s="7" t="n">
        <v>39.9</v>
      </c>
      <c r="L39" s="12" t="inlineStr">
        <is>
          <t>DROGARAIA</t>
        </is>
      </c>
      <c r="M39" s="7" t="n">
        <v>26.86</v>
      </c>
      <c r="N39" s="31" t="n">
        <v>0.485</v>
      </c>
      <c r="O39" s="12" t="inlineStr">
        <is>
          <t>São João Mais Cara</t>
        </is>
      </c>
      <c r="P39" s="12" t="inlineStr">
        <is>
          <t>Detrator Moderado</t>
        </is>
      </c>
      <c r="Q39" s="6" t="inlineStr">
        <is>
          <t>Reprecificar no Digital (Drogaraia R$ 26.86)</t>
        </is>
      </c>
    </row>
    <row r="40" ht="20" customHeight="1">
      <c r="A40" s="15" t="n">
        <v>36</v>
      </c>
      <c r="B40" s="16" t="inlineStr">
        <is>
          <t>10053040</t>
        </is>
      </c>
      <c r="C40" s="17" t="inlineStr">
        <is>
          <t>MASC CAB DOVE 320GR NUTRI+TRI-OLEOS</t>
        </is>
      </c>
      <c r="D40" s="18" t="n">
        <v>131.7</v>
      </c>
      <c r="E40" s="18" t="n">
        <v>1222.16</v>
      </c>
      <c r="F40" s="19" t="n">
        <v>-1090.46</v>
      </c>
      <c r="G40" s="20" t="n">
        <v>-0.892</v>
      </c>
      <c r="H40" s="21" t="n">
        <v>4741</v>
      </c>
      <c r="I40" s="22" t="n">
        <v>3.77</v>
      </c>
      <c r="J40" s="15" t="inlineStr">
        <is>
          <t>📉 Demanda Normal</t>
        </is>
      </c>
      <c r="K40" s="23" t="inlineStr"/>
      <c r="L40" s="24" t="inlineStr"/>
      <c r="M40" s="23" t="inlineStr"/>
      <c r="N40" s="25" t="inlineStr"/>
      <c r="O40" s="24" t="inlineStr">
        <is>
          <t>Não Monitorado</t>
        </is>
      </c>
      <c r="P40" s="24" t="inlineStr">
        <is>
          <t>Detrator Moderado</t>
        </is>
      </c>
      <c r="Q40" s="26" t="inlineStr">
        <is>
          <t>Ação Promocional / Destaque Home</t>
        </is>
      </c>
    </row>
    <row r="41" ht="20" customHeight="1">
      <c r="A41" s="4" t="n">
        <v>37</v>
      </c>
      <c r="B41" s="5" t="inlineStr">
        <is>
          <t>10050640</t>
        </is>
      </c>
      <c r="C41" s="6" t="inlineStr">
        <is>
          <t>POVIZTRA 0,25MG 1,5ML EUROFARMA</t>
        </is>
      </c>
      <c r="D41" s="7" t="n">
        <v>0</v>
      </c>
      <c r="E41" s="7" t="n">
        <v>1083.77</v>
      </c>
      <c r="F41" s="8" t="n">
        <v>-1083.77</v>
      </c>
      <c r="G41" s="9" t="n">
        <v>-1</v>
      </c>
      <c r="H41" s="10" t="n">
        <v>18016</v>
      </c>
      <c r="I41" s="11" t="n">
        <v>14.31</v>
      </c>
      <c r="J41" s="4" t="inlineStr">
        <is>
          <t>📉 Demanda Normal</t>
        </is>
      </c>
      <c r="K41" s="7" t="n">
        <v>831.76</v>
      </c>
      <c r="L41" s="12" t="inlineStr">
        <is>
          <t>PREÇO POPULAR</t>
        </is>
      </c>
      <c r="M41" s="7" t="n">
        <v>831.76</v>
      </c>
      <c r="N41" s="13" t="n">
        <v>0</v>
      </c>
      <c r="O41" s="12" t="inlineStr">
        <is>
          <t>Preço Alinhado</t>
        </is>
      </c>
      <c r="P41" s="12" t="inlineStr">
        <is>
          <t>Detrator Moderado</t>
        </is>
      </c>
      <c r="Q41" s="14" t="inlineStr">
        <is>
          <t>Ação Promocional / Destaque Home</t>
        </is>
      </c>
    </row>
    <row r="42" ht="20" customHeight="1">
      <c r="A42" s="15" t="n">
        <v>38</v>
      </c>
      <c r="B42" s="16" t="inlineStr">
        <is>
          <t>10044776</t>
        </is>
      </c>
      <c r="C42" s="17" t="inlineStr">
        <is>
          <t>SH TRESEMME 650ML BLINDAGEM ANTIUMIDADE</t>
        </is>
      </c>
      <c r="D42" s="18" t="n">
        <v>124.75</v>
      </c>
      <c r="E42" s="18" t="n">
        <v>1158.89</v>
      </c>
      <c r="F42" s="19" t="n">
        <v>-1034.14</v>
      </c>
      <c r="G42" s="20" t="n">
        <v>-0.892</v>
      </c>
      <c r="H42" s="21" t="n">
        <v>5723</v>
      </c>
      <c r="I42" s="22" t="n">
        <v>4.55</v>
      </c>
      <c r="J42" s="15" t="inlineStr">
        <is>
          <t>🏷️ Preço Desalinhado</t>
        </is>
      </c>
      <c r="K42" s="18" t="n">
        <v>34.9</v>
      </c>
      <c r="L42" s="24" t="inlineStr">
        <is>
          <t>AMAZON</t>
        </is>
      </c>
      <c r="M42" s="18" t="n">
        <v>21.42</v>
      </c>
      <c r="N42" s="27" t="n">
        <v>0.629</v>
      </c>
      <c r="O42" s="24" t="inlineStr">
        <is>
          <t>São João Mais Cara</t>
        </is>
      </c>
      <c r="P42" s="24" t="inlineStr">
        <is>
          <t>Detrator Moderado</t>
        </is>
      </c>
      <c r="Q42" s="17" t="inlineStr">
        <is>
          <t>Reprecificar no Digital (Amazon R$ 21.42)</t>
        </is>
      </c>
    </row>
    <row r="43" ht="20" customHeight="1">
      <c r="A43" s="4" t="n">
        <v>39</v>
      </c>
      <c r="B43" s="5" t="inlineStr">
        <is>
          <t>10044777</t>
        </is>
      </c>
      <c r="C43" s="6" t="inlineStr">
        <is>
          <t>COND TRESEMME 650ML BLINDAGEM ANTIUMIDADE</t>
        </is>
      </c>
      <c r="D43" s="7" t="n">
        <v>54.72</v>
      </c>
      <c r="E43" s="7" t="n">
        <v>1077.39</v>
      </c>
      <c r="F43" s="8" t="n">
        <v>-1022.67</v>
      </c>
      <c r="G43" s="9" t="n">
        <v>-0.9490000000000001</v>
      </c>
      <c r="H43" s="10" t="n">
        <v>5161</v>
      </c>
      <c r="I43" s="11" t="n">
        <v>4.1</v>
      </c>
      <c r="J43" s="4" t="inlineStr">
        <is>
          <t>📉 Demanda Normal</t>
        </is>
      </c>
      <c r="K43" s="28" t="inlineStr"/>
      <c r="L43" s="12" t="inlineStr"/>
      <c r="M43" s="28" t="inlineStr"/>
      <c r="N43" s="29" t="inlineStr"/>
      <c r="O43" s="12" t="inlineStr">
        <is>
          <t>Não Monitorado</t>
        </is>
      </c>
      <c r="P43" s="12" t="inlineStr">
        <is>
          <t>Detrator Moderado</t>
        </is>
      </c>
      <c r="Q43" s="14" t="inlineStr">
        <is>
          <t>Ação Promocional / Destaque Home</t>
        </is>
      </c>
    </row>
    <row r="44" ht="20" customHeight="1">
      <c r="A44" s="15" t="n">
        <v>40</v>
      </c>
      <c r="B44" s="16" t="inlineStr">
        <is>
          <t>100008737</t>
        </is>
      </c>
      <c r="C44" s="17" t="inlineStr">
        <is>
          <t>CR CAB TRESEMME 400G HIDRATACAO PROFUND</t>
        </is>
      </c>
      <c r="D44" s="18" t="n">
        <v>102.46</v>
      </c>
      <c r="E44" s="18" t="n">
        <v>1100.29</v>
      </c>
      <c r="F44" s="19" t="n">
        <v>-997.83</v>
      </c>
      <c r="G44" s="20" t="n">
        <v>-0.907</v>
      </c>
      <c r="H44" s="21" t="n">
        <v>4601</v>
      </c>
      <c r="I44" s="22" t="n">
        <v>3.65</v>
      </c>
      <c r="J44" s="15" t="inlineStr">
        <is>
          <t>📉 Demanda Normal</t>
        </is>
      </c>
      <c r="K44" s="23" t="inlineStr"/>
      <c r="L44" s="24" t="inlineStr"/>
      <c r="M44" s="23" t="inlineStr"/>
      <c r="N44" s="25" t="inlineStr"/>
      <c r="O44" s="24" t="inlineStr">
        <is>
          <t>Não Monitorado</t>
        </is>
      </c>
      <c r="P44" s="24" t="inlineStr">
        <is>
          <t>Neutro</t>
        </is>
      </c>
      <c r="Q44" s="26" t="inlineStr">
        <is>
          <t>Ação Promocional / Destaque Home</t>
        </is>
      </c>
    </row>
    <row r="45" ht="20" customHeight="1">
      <c r="A45" s="4" t="n">
        <v>41</v>
      </c>
      <c r="B45" s="5" t="inlineStr">
        <is>
          <t>10049009</t>
        </is>
      </c>
      <c r="C45" s="6" t="inlineStr">
        <is>
          <t>SH DOVE 600ML BOND REPAIR+PEPTIDEO</t>
        </is>
      </c>
      <c r="D45" s="7" t="n">
        <v>33.9</v>
      </c>
      <c r="E45" s="7" t="n">
        <v>1024.77</v>
      </c>
      <c r="F45" s="8" t="n">
        <v>-990.87</v>
      </c>
      <c r="G45" s="9" t="n">
        <v>-0.9670000000000001</v>
      </c>
      <c r="H45" s="10" t="n">
        <v>403</v>
      </c>
      <c r="I45" s="33" t="n">
        <v>0.32</v>
      </c>
      <c r="J45" s="4" t="inlineStr">
        <is>
          <t>🚨 Ruptura Logística</t>
        </is>
      </c>
      <c r="K45" s="7" t="n">
        <v>33.9</v>
      </c>
      <c r="L45" s="12" t="inlineStr">
        <is>
          <t>DROGARAIA</t>
        </is>
      </c>
      <c r="M45" s="7" t="n">
        <v>33.9</v>
      </c>
      <c r="N45" s="13" t="n">
        <v>0</v>
      </c>
      <c r="O45" s="12" t="inlineStr">
        <is>
          <t>Preço Alinhado</t>
        </is>
      </c>
      <c r="P45" s="12" t="inlineStr">
        <is>
          <t>Neutro</t>
        </is>
      </c>
      <c r="Q45" s="14" t="inlineStr">
        <is>
          <t>Abastecimento Emergencial Lojas/CD</t>
        </is>
      </c>
    </row>
    <row r="46" ht="20" customHeight="1">
      <c r="A46" s="15" t="n">
        <v>42</v>
      </c>
      <c r="B46" s="16" t="inlineStr">
        <is>
          <t>10049010</t>
        </is>
      </c>
      <c r="C46" s="17" t="inlineStr">
        <is>
          <t>COND DOVE 600ML BOND REPAIR+PEPTIDEO</t>
        </is>
      </c>
      <c r="D46" s="18" t="n">
        <v>129.52</v>
      </c>
      <c r="E46" s="18" t="n">
        <v>1117.06</v>
      </c>
      <c r="F46" s="19" t="n">
        <v>-987.54</v>
      </c>
      <c r="G46" s="20" t="n">
        <v>-0.884</v>
      </c>
      <c r="H46" s="21" t="n">
        <v>3913</v>
      </c>
      <c r="I46" s="22" t="n">
        <v>3.11</v>
      </c>
      <c r="J46" s="15" t="inlineStr">
        <is>
          <t>📉 Demanda Normal</t>
        </is>
      </c>
      <c r="K46" s="23" t="inlineStr"/>
      <c r="L46" s="24" t="inlineStr">
        <is>
          <t>PREÇO POPULAR</t>
        </is>
      </c>
      <c r="M46" s="18" t="n">
        <v>32.9</v>
      </c>
      <c r="N46" s="25" t="inlineStr"/>
      <c r="O46" s="24" t="inlineStr">
        <is>
          <t>Não Monitorado</t>
        </is>
      </c>
      <c r="P46" s="24" t="inlineStr">
        <is>
          <t>Neutro</t>
        </is>
      </c>
      <c r="Q46" s="26" t="inlineStr">
        <is>
          <t>Ação Promocional / Destaque Home</t>
        </is>
      </c>
    </row>
    <row r="47" ht="20" customHeight="1">
      <c r="A47" s="4" t="n">
        <v>43</v>
      </c>
      <c r="B47" s="5" t="inlineStr">
        <is>
          <t>100005474</t>
        </is>
      </c>
      <c r="C47" s="6" t="inlineStr">
        <is>
          <t>NANLAC COMFOR 3 800G NESTLE</t>
        </is>
      </c>
      <c r="D47" s="7" t="n">
        <v>711.0700000000001</v>
      </c>
      <c r="E47" s="7" t="n">
        <v>1690.27</v>
      </c>
      <c r="F47" s="8" t="n">
        <v>-979.2</v>
      </c>
      <c r="G47" s="9" t="n">
        <v>-0.579</v>
      </c>
      <c r="H47" s="10" t="n">
        <v>285448</v>
      </c>
      <c r="I47" s="11" t="n">
        <v>226.73</v>
      </c>
      <c r="J47" s="4" t="inlineStr">
        <is>
          <t>🏷️ Preço Desalinhado</t>
        </is>
      </c>
      <c r="K47" s="7" t="n">
        <v>80.48999999999999</v>
      </c>
      <c r="L47" s="12" t="inlineStr">
        <is>
          <t>PREÇO POPULAR</t>
        </is>
      </c>
      <c r="M47" s="7" t="n">
        <v>59.99</v>
      </c>
      <c r="N47" s="31" t="n">
        <v>0.342</v>
      </c>
      <c r="O47" s="12" t="inlineStr">
        <is>
          <t>São João Mais Cara</t>
        </is>
      </c>
      <c r="P47" s="12" t="inlineStr">
        <is>
          <t>Neutro</t>
        </is>
      </c>
      <c r="Q47" s="6" t="inlineStr">
        <is>
          <t>Reprecificar no Digital (Precopopular R$ 59.99)</t>
        </is>
      </c>
    </row>
    <row r="48" ht="20" customHeight="1">
      <c r="A48" s="15" t="n">
        <v>44</v>
      </c>
      <c r="B48" s="16" t="inlineStr">
        <is>
          <t>10023627</t>
        </is>
      </c>
      <c r="C48" s="17" t="inlineStr">
        <is>
          <t>APTANUTRI PROFUTURA 3 800G DANONE</t>
        </is>
      </c>
      <c r="D48" s="18" t="n">
        <v>316.96</v>
      </c>
      <c r="E48" s="18" t="n">
        <v>1284.5</v>
      </c>
      <c r="F48" s="19" t="n">
        <v>-967.54</v>
      </c>
      <c r="G48" s="20" t="n">
        <v>-0.753</v>
      </c>
      <c r="H48" s="21" t="n">
        <v>39813</v>
      </c>
      <c r="I48" s="22" t="n">
        <v>31.62</v>
      </c>
      <c r="J48" s="15" t="inlineStr">
        <is>
          <t>🏷️ Preço Desalinhado</t>
        </is>
      </c>
      <c r="K48" s="18" t="n">
        <v>106.99</v>
      </c>
      <c r="L48" s="24" t="inlineStr">
        <is>
          <t>AMAZON</t>
        </is>
      </c>
      <c r="M48" s="18" t="n">
        <v>79.79000000000001</v>
      </c>
      <c r="N48" s="27" t="n">
        <v>0.341</v>
      </c>
      <c r="O48" s="24" t="inlineStr">
        <is>
          <t>São João Mais Cara</t>
        </is>
      </c>
      <c r="P48" s="24" t="inlineStr">
        <is>
          <t>Neutro</t>
        </is>
      </c>
      <c r="Q48" s="17" t="inlineStr">
        <is>
          <t>Reprecificar no Digital (Amazon R$ 79.79)</t>
        </is>
      </c>
    </row>
    <row r="49" ht="20" customHeight="1">
      <c r="A49" s="4" t="n">
        <v>45</v>
      </c>
      <c r="B49" s="5" t="inlineStr">
        <is>
          <t>10049068</t>
        </is>
      </c>
      <c r="C49" s="6" t="inlineStr">
        <is>
          <t>COND DOVE 370ML NUTRICAO+TRI-OLEOS</t>
        </is>
      </c>
      <c r="D49" s="7" t="n">
        <v>49.35</v>
      </c>
      <c r="E49" s="7" t="n">
        <v>959.08</v>
      </c>
      <c r="F49" s="8" t="n">
        <v>-909.73</v>
      </c>
      <c r="G49" s="9" t="n">
        <v>-0.9490000000000001</v>
      </c>
      <c r="H49" s="10" t="n">
        <v>6234</v>
      </c>
      <c r="I49" s="11" t="n">
        <v>4.95</v>
      </c>
      <c r="J49" s="4" t="inlineStr">
        <is>
          <t>📉 Demanda Normal</t>
        </is>
      </c>
      <c r="K49" s="28" t="inlineStr"/>
      <c r="L49" s="12" t="inlineStr"/>
      <c r="M49" s="28" t="inlineStr"/>
      <c r="N49" s="29" t="inlineStr"/>
      <c r="O49" s="12" t="inlineStr">
        <is>
          <t>Não Monitorado</t>
        </is>
      </c>
      <c r="P49" s="12" t="inlineStr">
        <is>
          <t>Neutro</t>
        </is>
      </c>
      <c r="Q49" s="14" t="inlineStr">
        <is>
          <t>Ação Promocional / Destaque Home</t>
        </is>
      </c>
    </row>
    <row r="50" ht="20" customHeight="1">
      <c r="A50" s="15" t="n">
        <v>46</v>
      </c>
      <c r="B50" s="16" t="inlineStr">
        <is>
          <t>10041258</t>
        </is>
      </c>
      <c r="C50" s="17" t="inlineStr">
        <is>
          <t>FR HUGGIES MAXIMA PROT MAX XG 82UN</t>
        </is>
      </c>
      <c r="D50" s="18" t="n">
        <v>2920.79</v>
      </c>
      <c r="E50" s="18" t="n">
        <v>3774.26</v>
      </c>
      <c r="F50" s="19" t="n">
        <v>-853.47</v>
      </c>
      <c r="G50" s="20" t="n">
        <v>-0.226</v>
      </c>
      <c r="H50" s="21" t="n">
        <v>193634</v>
      </c>
      <c r="I50" s="22" t="n">
        <v>153.8</v>
      </c>
      <c r="J50" s="15" t="inlineStr">
        <is>
          <t>📉 Demanda Normal</t>
        </is>
      </c>
      <c r="K50" s="23" t="inlineStr"/>
      <c r="L50" s="24" t="inlineStr"/>
      <c r="M50" s="23" t="inlineStr"/>
      <c r="N50" s="25" t="inlineStr"/>
      <c r="O50" s="24" t="inlineStr">
        <is>
          <t>Não Monitorado</t>
        </is>
      </c>
      <c r="P50" s="24" t="inlineStr">
        <is>
          <t>Neutro</t>
        </is>
      </c>
      <c r="Q50" s="26" t="inlineStr">
        <is>
          <t>Ação Promocional / Destaque Home</t>
        </is>
      </c>
    </row>
    <row r="51" ht="20" customHeight="1">
      <c r="A51" s="4" t="n">
        <v>47</v>
      </c>
      <c r="B51" s="5" t="inlineStr">
        <is>
          <t>10038989</t>
        </is>
      </c>
      <c r="C51" s="6" t="inlineStr">
        <is>
          <t>SH TRESEMME 650ML RECONSTRUCAO E FORCA</t>
        </is>
      </c>
      <c r="D51" s="7" t="n">
        <v>54.85</v>
      </c>
      <c r="E51" s="7" t="n">
        <v>904.26</v>
      </c>
      <c r="F51" s="8" t="n">
        <v>-849.41</v>
      </c>
      <c r="G51" s="9" t="n">
        <v>-0.9390000000000001</v>
      </c>
      <c r="H51" s="10" t="n">
        <v>5982</v>
      </c>
      <c r="I51" s="11" t="n">
        <v>4.75</v>
      </c>
      <c r="J51" s="4" t="inlineStr">
        <is>
          <t>📉 Demanda Normal</t>
        </is>
      </c>
      <c r="K51" s="28" t="inlineStr"/>
      <c r="L51" s="12" t="inlineStr"/>
      <c r="M51" s="28" t="inlineStr"/>
      <c r="N51" s="29" t="inlineStr"/>
      <c r="O51" s="12" t="inlineStr">
        <is>
          <t>Não Monitorado</t>
        </is>
      </c>
      <c r="P51" s="12" t="inlineStr">
        <is>
          <t>Neutro</t>
        </is>
      </c>
      <c r="Q51" s="14" t="inlineStr">
        <is>
          <t>Ação Promocional / Destaque Home</t>
        </is>
      </c>
    </row>
    <row r="52" ht="20" customHeight="1">
      <c r="A52" s="15" t="n">
        <v>48</v>
      </c>
      <c r="B52" s="16" t="inlineStr">
        <is>
          <t>10051359</t>
        </is>
      </c>
      <c r="C52" s="17" t="inlineStr">
        <is>
          <t>SENSOR SMART 2.0 GX-01S MEDLEVENSOHN</t>
        </is>
      </c>
      <c r="D52" s="18" t="n">
        <v>0</v>
      </c>
      <c r="E52" s="18" t="n">
        <v>838.96</v>
      </c>
      <c r="F52" s="19" t="n">
        <v>-838.96</v>
      </c>
      <c r="G52" s="20" t="n">
        <v>-1</v>
      </c>
      <c r="H52" s="21" t="n">
        <v>1911</v>
      </c>
      <c r="I52" s="22" t="n">
        <v>1.52</v>
      </c>
      <c r="J52" s="15" t="inlineStr">
        <is>
          <t>📉 Demanda Normal</t>
        </is>
      </c>
      <c r="K52" s="18" t="n">
        <v>309</v>
      </c>
      <c r="L52" s="24" t="inlineStr">
        <is>
          <t>AMAZON</t>
        </is>
      </c>
      <c r="M52" s="18" t="n">
        <v>449</v>
      </c>
      <c r="N52" s="30" t="n">
        <v>-0.312</v>
      </c>
      <c r="O52" s="24" t="inlineStr">
        <is>
          <t>Líder de Preço</t>
        </is>
      </c>
      <c r="P52" s="24" t="inlineStr">
        <is>
          <t>Neutro</t>
        </is>
      </c>
      <c r="Q52" s="26" t="inlineStr">
        <is>
          <t>Ação Promocional / Destaque Home</t>
        </is>
      </c>
    </row>
    <row r="53" ht="20" customHeight="1">
      <c r="A53" s="4" t="n">
        <v>49</v>
      </c>
      <c r="B53" s="5" t="inlineStr">
        <is>
          <t>10038990</t>
        </is>
      </c>
      <c r="C53" s="6" t="inlineStr">
        <is>
          <t>COND TRESEMME 650ML RECONSTRUCAO E FORCA</t>
        </is>
      </c>
      <c r="D53" s="7" t="n">
        <v>18.95</v>
      </c>
      <c r="E53" s="7" t="n">
        <v>849.24</v>
      </c>
      <c r="F53" s="8" t="n">
        <v>-830.29</v>
      </c>
      <c r="G53" s="9" t="n">
        <v>-0.978</v>
      </c>
      <c r="H53" s="10" t="n">
        <v>4737</v>
      </c>
      <c r="I53" s="11" t="n">
        <v>3.76</v>
      </c>
      <c r="J53" s="4" t="inlineStr">
        <is>
          <t>📉 Demanda Normal</t>
        </is>
      </c>
      <c r="K53" s="28" t="inlineStr"/>
      <c r="L53" s="12" t="inlineStr"/>
      <c r="M53" s="28" t="inlineStr"/>
      <c r="N53" s="29" t="inlineStr"/>
      <c r="O53" s="12" t="inlineStr">
        <is>
          <t>Não Monitorado</t>
        </is>
      </c>
      <c r="P53" s="12" t="inlineStr">
        <is>
          <t>Neutro</t>
        </is>
      </c>
      <c r="Q53" s="14" t="inlineStr">
        <is>
          <t>Ação Promocional / Destaque Home</t>
        </is>
      </c>
    </row>
    <row r="54" ht="20" customHeight="1">
      <c r="A54" s="15" t="n">
        <v>50</v>
      </c>
      <c r="B54" s="16" t="inlineStr">
        <is>
          <t>10091016</t>
        </is>
      </c>
      <c r="C54" s="17" t="inlineStr">
        <is>
          <t>KELO COTE GEL BISN 15G FQM</t>
        </is>
      </c>
      <c r="D54" s="18" t="n">
        <v>0</v>
      </c>
      <c r="E54" s="18" t="n">
        <v>815.85</v>
      </c>
      <c r="F54" s="19" t="n">
        <v>-815.85</v>
      </c>
      <c r="G54" s="20" t="n">
        <v>-1</v>
      </c>
      <c r="H54" s="21" t="n">
        <v>3067</v>
      </c>
      <c r="I54" s="22" t="n">
        <v>2.44</v>
      </c>
      <c r="J54" s="15" t="inlineStr">
        <is>
          <t>🏷️ Preço Desalinhado</t>
        </is>
      </c>
      <c r="K54" s="18" t="n">
        <v>221.99</v>
      </c>
      <c r="L54" s="24" t="inlineStr">
        <is>
          <t>AMAZON</t>
        </is>
      </c>
      <c r="M54" s="18" t="n">
        <v>196.28</v>
      </c>
      <c r="N54" s="27" t="n">
        <v>0.131</v>
      </c>
      <c r="O54" s="24" t="inlineStr">
        <is>
          <t>São João Mais Cara</t>
        </is>
      </c>
      <c r="P54" s="24" t="inlineStr">
        <is>
          <t>Neutro</t>
        </is>
      </c>
      <c r="Q54" s="17" t="inlineStr">
        <is>
          <t>Reprecificar no Digital (Amazon R$ 196.28)</t>
        </is>
      </c>
    </row>
    <row r="55" ht="24" customHeight="1">
      <c r="A55" s="34" t="inlineStr">
        <is>
          <t>TOTAL TOP 50</t>
        </is>
      </c>
      <c r="B55" s="35" t="n"/>
      <c r="C55" s="35" t="n"/>
      <c r="D55" s="36">
        <f>SUM(D5:D54)</f>
        <v/>
      </c>
      <c r="E55" s="36">
        <f>SUM(E5:E54)</f>
        <v/>
      </c>
      <c r="F55" s="37">
        <f>SUM(F5:F54)</f>
        <v/>
      </c>
      <c r="G55" s="38">
        <f>(D55-E55)/E55</f>
        <v/>
      </c>
      <c r="H55" s="39" t="n"/>
      <c r="I55" s="39" t="inlineStr"/>
      <c r="J55" s="39" t="inlineStr"/>
      <c r="K55" s="39" t="inlineStr"/>
      <c r="L55" s="39" t="inlineStr"/>
      <c r="M55" s="39" t="inlineStr"/>
      <c r="N55" s="39" t="inlineStr"/>
      <c r="O55" s="39" t="inlineStr"/>
      <c r="P55" s="39" t="inlineStr"/>
      <c r="Q55" s="39" t="inlineStr"/>
    </row>
  </sheetData>
  <mergeCells count="1"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2026-09-17T17:21:48Z</dcterms:created>
  <dcterms:modified xmlns:dcterms="http://purl.org/dc/terms/" xmlns:xsi="http://www.w3.org/2001/XMLSchema-instance" xsi:type="dcterms:W3CDTF">2026-09-17T17:21:48Z</dcterms:modified>
</cp:coreProperties>
</file>